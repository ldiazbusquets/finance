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<sst xmlns="http://schemas.openxmlformats.org/spreadsheetml/2006/main" count="46" uniqueCount="36">
  <si>
    <t xml:space="preserve">LDB FINANCE</t>
  </si>
  <si>
    <t xml:space="preserve">Advanced Micro Devices (AMD)</t>
  </si>
  <si>
    <t xml:space="preserve">Scenario model: 2030 earning power, capitalised and discounted back four years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</si>
  <si>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</si>
  <si>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</si>
  <si>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</si>
  <si>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</si>
  <si>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</si>
  <si>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</si>
  <si>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</si>
  <si>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</si>
  <si>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</si>
  <si>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</si>
  <si>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</si>
  <si>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</si>
  <si>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</si>
  <si>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</si>
  <si>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</si>
  <si>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</si>
  <si>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</si>
  <si>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</si>
  <si>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</t>
  </si>
  <si>
    <t xml:space="preserve">INPUTS</t>
  </si>
  <si>
    <t xml:space="preserve">Revenue in 2030 ($B)</t>
  </si>
  <si>
    <t xml:space="preserve">Operating margin in 2030</t>
  </si>
  <si>
    <t xml:space="preserve">Tax rate</t>
  </si>
  <si>
    <t xml:space="preserve">U.S. federal rate</t>
  </si>
  <si>
    <t xml:space="preserve">Exit multiple of after-tax operating profit</t>
  </si>
  <si>
    <t xml:space="preserve">Years discounted</t>
  </si>
  <si>
    <t xml:space="preserve">Net cash ($B)</t>
  </si>
  <si>
    <t xml:space="preserve">Shares by 2030 (billions)</t>
  </si>
  <si>
    <t xml:space="preserve">VALUE</t>
  </si>
  <si>
    <t xml:space="preserve">After-tax operating profit, 2030 ($B)</t>
  </si>
  <si>
    <t xml:space="preserve">Value in 2030 ($B)</t>
  </si>
  <si>
    <t xml:space="preserve">Value today ($B)</t>
  </si>
  <si>
    <t xml:space="preserve">Plus net cash: equity value ($B)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</si>
</sst>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.00;\(#,##0.00\);\-"/>
    <numFmt numFmtId="169" formatCode="0.0\x"/>
    <numFmt numFmtId="170" formatCode="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Model!B23</f>
        <v>128.225602251955</v>
      </c>
      <c r="C8" s="10" t="n">
        <f aca="false">Model!C23</f>
        <v>319.287051212385</v>
      </c>
      <c r="D8" s="10" t="n">
        <f aca="false">Model!D23</f>
        <v>591.235828929786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339.508883401628</v>
      </c>
    </row>
    <row r="11" customFormat="false" ht="15" hidden="false" customHeight="false" outlineLevel="0" collapsed="false">
      <c r="A11" s="9" t="s">
        <v>10</v>
      </c>
      <c r="C11" s="14" t="n">
        <v>552.72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-0.385748872120372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0.1</v>
      </c>
      <c r="C16" s="18" t="n">
        <f aca="false">(Model!$C$20/(1+B16)^Model!$C$13+Model!$C$14)/Model!$C$15</f>
        <v>342.737893586504</v>
      </c>
    </row>
    <row r="17" customFormat="false" ht="15" hidden="false" customHeight="false" outlineLevel="0" collapsed="false">
      <c r="A17" s="16"/>
      <c r="B17" s="17" t="n">
        <v>0.11</v>
      </c>
      <c r="C17" s="18" t="n">
        <f aca="false">(Model!$C$20/(1+B17)^Model!$C$13+Model!$C$14)/Model!$C$15</f>
        <v>330.748418484094</v>
      </c>
    </row>
    <row r="18" customFormat="false" ht="15" hidden="false" customHeight="false" outlineLevel="0" collapsed="false">
      <c r="A18" s="16"/>
      <c r="B18" s="17" t="n">
        <v>0.12</v>
      </c>
      <c r="C18" s="18" t="n">
        <f aca="false">(Model!$C$20/(1+B18)^Model!$C$13+Model!$C$14)/Model!$C$15</f>
        <v>319.287051212385</v>
      </c>
    </row>
    <row r="19" customFormat="false" ht="15" hidden="false" customHeight="false" outlineLevel="0" collapsed="false">
      <c r="A19" s="16"/>
      <c r="B19" s="17" t="n">
        <v>0.13</v>
      </c>
      <c r="C19" s="18" t="n">
        <f aca="false">(Model!$C$20/(1+B19)^Model!$C$13+Model!$C$14)/Model!$C$15</f>
        <v>308.326121791692</v>
      </c>
    </row>
    <row r="20" customFormat="false" ht="15" hidden="false" customHeight="false" outlineLevel="0" collapsed="false">
      <c r="A20" s="16"/>
      <c r="B20" s="17" t="n">
        <v>0.14</v>
      </c>
      <c r="C20" s="18" t="n">
        <f aca="false">(Model!$C$20/(1+B20)^Model!$C$13+Model!$C$14)/Model!$C$15</f>
        <v>297.839636951531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20" t="n">
        <v>100</v>
      </c>
      <c r="C8" s="20" t="n">
        <v>150</v>
      </c>
      <c r="D8" s="20" t="n">
        <v>200</v>
      </c>
    </row>
    <row r="9" customFormat="false" ht="15" hidden="false" customHeight="false" outlineLevel="0" collapsed="false">
      <c r="A9" s="9" t="s">
        <v>24</v>
      </c>
      <c r="B9" s="11" t="n">
        <v>0.22</v>
      </c>
      <c r="C9" s="11" t="n">
        <v>0.3</v>
      </c>
      <c r="D9" s="11" t="n">
        <v>0.35</v>
      </c>
    </row>
    <row r="10" customFormat="false" ht="15" hidden="false" customHeight="false" outlineLevel="0" collapsed="false">
      <c r="A10" s="9" t="s">
        <v>25</v>
      </c>
      <c r="B10" s="11" t="n">
        <v>0.21</v>
      </c>
      <c r="C10" s="11" t="n">
        <v>0.21</v>
      </c>
      <c r="D10" s="11" t="n">
        <v>0.21</v>
      </c>
      <c r="E10" s="19" t="s">
        <v>26</v>
      </c>
    </row>
    <row r="11" customFormat="false" ht="15" hidden="false" customHeight="false" outlineLevel="0" collapsed="false">
      <c r="A11" s="9" t="s">
        <v>27</v>
      </c>
      <c r="B11" s="21" t="n">
        <v>20</v>
      </c>
      <c r="C11" s="21" t="n">
        <v>25</v>
      </c>
      <c r="D11" s="21" t="n">
        <v>30</v>
      </c>
    </row>
    <row r="12" customFormat="false" ht="15" hidden="false" customHeight="false" outlineLevel="0" collapsed="false">
      <c r="A12" s="9" t="s">
        <v>14</v>
      </c>
      <c r="B12" s="11" t="n">
        <v>0.12</v>
      </c>
      <c r="C12" s="11" t="n">
        <v>0.12</v>
      </c>
      <c r="D12" s="11" t="n">
        <v>0.12</v>
      </c>
    </row>
    <row r="13" customFormat="false" ht="15" hidden="false" customHeight="false" outlineLevel="0" collapsed="false">
      <c r="A13" s="9" t="s">
        <v>28</v>
      </c>
      <c r="B13" s="22" t="n">
        <v>4</v>
      </c>
      <c r="C13" s="22" t="n">
        <v>4</v>
      </c>
      <c r="D13" s="22" t="n">
        <v>4</v>
      </c>
    </row>
    <row r="14" customFormat="false" ht="15" hidden="false" customHeight="false" outlineLevel="0" collapsed="false">
      <c r="A14" s="9" t="s">
        <v>29</v>
      </c>
      <c r="B14" s="20" t="n">
        <v>9.9</v>
      </c>
      <c r="C14" s="20" t="n">
        <v>9.9</v>
      </c>
      <c r="D14" s="20" t="n">
        <v>9.9</v>
      </c>
    </row>
    <row r="15" customFormat="false" ht="15" hidden="false" customHeight="false" outlineLevel="0" collapsed="false">
      <c r="A15" s="9" t="s">
        <v>30</v>
      </c>
      <c r="B15" s="23" t="n">
        <v>1.8</v>
      </c>
      <c r="C15" s="23" t="n">
        <v>1.8</v>
      </c>
      <c r="D15" s="23" t="n">
        <v>1.8</v>
      </c>
    </row>
    <row r="17" customFormat="false" ht="19.5" hidden="false" customHeight="true" outlineLevel="0" collapsed="false">
      <c r="A17" s="5" t="s">
        <v>31</v>
      </c>
      <c r="B17" s="6"/>
      <c r="C17" s="6"/>
      <c r="D17" s="6"/>
      <c r="E17" s="6"/>
    </row>
    <row r="18" customFormat="false" ht="30" hidden="false" customHeight="true" outlineLevel="0" collapsed="false">
      <c r="A18" s="7"/>
      <c r="B18" s="8" t="s">
        <v>4</v>
      </c>
      <c r="C18" s="8" t="s">
        <v>5</v>
      </c>
      <c r="D18" s="8" t="s">
        <v>6</v>
      </c>
    </row>
    <row r="19" customFormat="false" ht="15" hidden="false" customHeight="false" outlineLevel="0" collapsed="false">
      <c r="A19" s="9" t="s">
        <v>32</v>
      </c>
      <c r="B19" s="24" t="n">
        <f aca="false">B8*B9*(1-B10)</f>
        <v>17.38</v>
      </c>
      <c r="C19" s="24" t="n">
        <f aca="false">C8*C9*(1-C10)</f>
        <v>35.55</v>
      </c>
      <c r="D19" s="24" t="n">
        <f aca="false">D8*D9*(1-D10)</f>
        <v>55.3</v>
      </c>
    </row>
    <row r="20" customFormat="false" ht="15" hidden="false" customHeight="false" outlineLevel="0" collapsed="false">
      <c r="A20" s="9" t="s">
        <v>33</v>
      </c>
      <c r="B20" s="24" t="n">
        <f aca="false">B19*B11</f>
        <v>347.6</v>
      </c>
      <c r="C20" s="24" t="n">
        <f aca="false">C19*C11</f>
        <v>888.75</v>
      </c>
      <c r="D20" s="24" t="n">
        <f aca="false">D19*D11</f>
        <v>1659</v>
      </c>
    </row>
    <row r="21" customFormat="false" ht="15" hidden="false" customHeight="false" outlineLevel="0" collapsed="false">
      <c r="A21" s="9" t="s">
        <v>34</v>
      </c>
      <c r="B21" s="24" t="n">
        <f aca="false">B20/(1+B12)^B13</f>
        <v>220.906084053519</v>
      </c>
      <c r="C21" s="24" t="n">
        <f aca="false">C20/(1+C12)^C13</f>
        <v>564.816692182294</v>
      </c>
      <c r="D21" s="24" t="n">
        <f aca="false">D20/(1+D12)^D13</f>
        <v>1054.32449207362</v>
      </c>
    </row>
    <row r="22" customFormat="false" ht="15" hidden="false" customHeight="false" outlineLevel="0" collapsed="false">
      <c r="A22" s="9" t="s">
        <v>35</v>
      </c>
      <c r="B22" s="24" t="n">
        <f aca="false">B21+B14</f>
        <v>230.806084053519</v>
      </c>
      <c r="C22" s="24" t="n">
        <f aca="false">C21+C14</f>
        <v>574.716692182294</v>
      </c>
      <c r="D22" s="24" t="n">
        <f aca="false">D21+D14</f>
        <v>1064.22449207362</v>
      </c>
    </row>
    <row r="23" customFormat="false" ht="15" hidden="false" customHeight="false" outlineLevel="0" collapsed="false">
      <c r="A23" s="12" t="s">
        <v>15</v>
      </c>
      <c r="B23" s="13" t="n">
        <f aca="false">B22/B15</f>
        <v>128.225602251955</v>
      </c>
      <c r="C23" s="13" t="n">
        <f aca="false">C22/C15</f>
        <v>319.287051212385</v>
      </c>
      <c r="D23" s="13" t="n">
        <f aca="false">D22/D15</f>
        <v>591.235828929786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2026-10-22T14:46:54Z</dcterms:created>
  <dc:creator>LDB Finance</dc:creator>
  <dc:description/>
  <dc:language>en-US</dc:language>
  <cp:lastModifiedBy/>
  <dcterms:modified xsi:type="dcterms:W3CDTF">2026-10-22T14:46:55Z</dcterms:modified>
  <cp:revision>0</cp:revision>
  <dc:subject/>
  <dc:title>Advanced Micro Devices (AMD)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