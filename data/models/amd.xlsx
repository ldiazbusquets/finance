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<sst xmlns="http://schemas.openxmlformats.org/spreadsheetml/2006/main" count="46" uniqueCount="36">
  <si>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</si>
  <si>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Advanced Micro Devices (AMD)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</si>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</sst>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128.225602251955</v>
      </c>
      <c r="C8" s="10" t="n">
        <f aca="false">Model!C23</f>
        <v>319.287051212385</v>
      </c>
      <c r="D8" s="10" t="n">
        <f aca="false">Model!D23</f>
        <v>591.235828929786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339.508883401628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-0.385748872120372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342.737893586504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330.748418484094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319.287051212385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308.326121791692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297.839636951531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17.38</v>
      </c>
      <c r="C19" s="24" t="n">
        <f aca="false">C8*C9*(1-C10)</f>
        <v>35.55</v>
      </c>
      <c r="D19" s="24" t="n">
        <f aca="false">D8*D9*(1-D10)</f>
        <v>55.3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347.6</v>
      </c>
      <c r="C20" s="24" t="n">
        <f aca="false">C19*C11</f>
        <v>888.75</v>
      </c>
      <c r="D20" s="24" t="n">
        <f aca="false">D19*D11</f>
        <v>1659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220.906084053519</v>
      </c>
      <c r="C21" s="24" t="n">
        <f aca="false">C20/(1+C12)^C13</f>
        <v>564.816692182294</v>
      </c>
      <c r="D21" s="24" t="n">
        <f aca="false">D20/(1+D12)^D13</f>
        <v>1054.32449207362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230.806084053519</v>
      </c>
      <c r="C22" s="24" t="n">
        <f aca="false">C21+C14</f>
        <v>574.716692182294</v>
      </c>
      <c r="D22" s="24" t="n">
        <f aca="false">D21+D14</f>
        <v>1064.22449207362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128.225602251955</v>
      </c>
      <c r="C23" s="13" t="n">
        <f aca="false">C22/C15</f>
        <v>319.287051212385</v>
      </c>
      <c r="D23" s="13" t="n">
        <f aca="false">D22/D15</f>
        <v>591.235828929786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