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<sst xmlns="http://schemas.openxmlformats.org/spreadsheetml/2006/main" count="134" uniqueCount="61">
  <si>
    <t xml:space="preserve">LDB FINANCE</t>
  </si>
  <si>
    <t xml:space="preserve">American Water Works (AWK)</t>
  </si>
  <si>
    <t xml:space="preserve">Dividend discount model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</si>
  <si>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</si>
  <si>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</si>
  <si>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</si>
  <si>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</si>
  <si>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</si>
  <si>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</si>
  <si>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</si>
  <si>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</si>
  <si>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</si>
  <si>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</si>
  <si>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</si>
  <si>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</si>
  <si>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</si>
  <si>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</si>
  <si>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</si>
  <si>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</si>
  <si>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</si>
  <si>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</si>
  <si>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</si>
  <si>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Value per share ($)</t>
  </si>
  <si>
    <t xml:space="preserve">Each row reprices the base case at that cost of equity.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</si>
  <si>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</si>
  <si>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</si>
  <si>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https://github.com/ldiazbusquets/finance/blob/main/_source/models/awk.py, and checked against it each time the file is made.</t>
  </si>
  <si>
    <t xml:space="preserve">For education only. Not investment advice.</t>
  </si>
  <si>
    <t xml:space="preserve">Base case: dividends per share, $</t>
  </si>
  <si>
    <t xml:space="preserve">INPUTS</t>
  </si>
  <si>
    <t xml:space="preserve">Dividend, last 12 months ($)</t>
  </si>
  <si>
    <t xml:space="preserve">Company filings</t>
  </si>
  <si>
    <t xml:space="preserve">Dividend growth, years 1-5</t>
  </si>
  <si>
    <t xml:space="preserve">Company 7-9% EPS and dividend target</t>
  </si>
  <si>
    <t xml:space="preserve">Long-run growth, from year 10</t>
  </si>
  <si>
    <t xml:space="preserve">Growth fades to it over years 6-10</t>
  </si>
  <si>
    <t xml:space="preserve">Cost of equity shift for this case</t>
  </si>
  <si>
    <t xml:space="preserve">DIVIDENDS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</si>
  <si>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</si>
  <si>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</si>
  <si>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</si>
  <si>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</si>
  <si>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</si>
  <si>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</si>
  <si>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</si>
  <si>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</si>
  <si>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</si>
  <si>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</si>
  <si>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</si>
  <si>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</si>
  <si>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Dividend growth</t>
  </si>
  <si>
    <t xml:space="preserve">Dividend per share ($)</t>
  </si>
  <si>
    <t xml:space="preserve">Discount factor</t>
  </si>
  <si>
    <t xml:space="preserve">Present value ($)</t>
  </si>
  <si>
    <t xml:space="preserve">VALUE PER SHARE</t>
  </si>
  <si>
    <t xml:space="preserve">Present value of ten years of dividends ($)</t>
  </si>
  <si>
    <t xml:space="preserve">Terminal value ($)</t>
  </si>
  <si>
    <t xml:space="preserve">D10 x (1 + g) / (cost of equity - g)</t>
  </si>
  <si>
    <t xml:space="preserve">Present value of terminal value ($)</t>
  </si>
  <si>
    <t xml:space="preserve">Bear case: dividends per share, $</t>
  </si>
  <si>
    <t xml:space="preserve">Bull case: dividends per share, $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</si>
</sst>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0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0.7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0.083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Bear!$B$25</f>
        <v>69.3694684951907</v>
      </c>
      <c r="C14" s="15" t="n">
        <f aca="false">Base!$B$25</f>
        <v>100.402451165721</v>
      </c>
      <c r="D14" s="15" t="n">
        <f aca="false">Bull!$B$25</f>
        <v>131.991373096869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100.541435980876</v>
      </c>
    </row>
    <row r="17" customFormat="false" ht="15" hidden="false" customHeight="false" outlineLevel="0" collapsed="false">
      <c r="A17" s="7" t="s">
        <v>18</v>
      </c>
      <c r="C17" s="18" t="n">
        <v>135.79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-0.259581442073234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10</v>
      </c>
      <c r="C21" s="14" t="s">
        <v>22</v>
      </c>
    </row>
    <row r="22" customFormat="false" ht="15" hidden="false" customHeight="false" outlineLevel="0" collapsed="false">
      <c r="A22" s="20"/>
      <c r="B22" s="21" t="n">
        <v>0.07</v>
      </c>
      <c r="C22" s="22" t="n">
        <f aca="false">SUMPRODUCT(Base!$B$17:$K$17,1/(1+B22)^Base!$B$15:$K$15)+Base!$K$17*(1+Base!$B$9)/(B22-Base!$B$9)/(1+B22)^10</f>
        <v>138.926750998182</v>
      </c>
    </row>
    <row r="23" customFormat="false" ht="15" hidden="false" customHeight="false" outlineLevel="0" collapsed="false">
      <c r="A23" s="20"/>
      <c r="B23" s="21" t="n">
        <v>0.075</v>
      </c>
      <c r="C23" s="22" t="n">
        <f aca="false">SUMPRODUCT(Base!$B$17:$K$17,1/(1+B23)^Base!$B$15:$K$15)+Base!$K$17*(1+Base!$B$9)/(B23-Base!$B$9)/(1+B23)^10</f>
        <v>121.137466776543</v>
      </c>
    </row>
    <row r="24" customFormat="false" ht="15" hidden="false" customHeight="false" outlineLevel="0" collapsed="false">
      <c r="A24" s="20"/>
      <c r="B24" s="21" t="n">
        <v>0.08</v>
      </c>
      <c r="C24" s="22" t="n">
        <f aca="false">SUMPRODUCT(Base!$B$17:$K$17,1/(1+B24)^Base!$B$15:$K$15)+Base!$K$17*(1+Base!$B$9)/(B24-Base!$B$9)/(1+B24)^10</f>
        <v>107.311243347222</v>
      </c>
    </row>
    <row r="25" customFormat="false" ht="15" hidden="false" customHeight="false" outlineLevel="0" collapsed="false">
      <c r="A25" s="20"/>
      <c r="B25" s="21" t="n">
        <v>0.085</v>
      </c>
      <c r="C25" s="22" t="n">
        <f aca="false">SUMPRODUCT(Base!$B$17:$K$17,1/(1+B25)^Base!$B$15:$K$15)+Base!$K$17*(1+Base!$B$9)/(B25-Base!$B$9)/(1+B25)^10</f>
        <v>96.258865048139</v>
      </c>
    </row>
    <row r="26" customFormat="false" ht="15" hidden="false" customHeight="false" outlineLevel="0" collapsed="false">
      <c r="A26" s="20"/>
      <c r="B26" s="21" t="n">
        <v>0.09</v>
      </c>
      <c r="C26" s="22" t="n">
        <f aca="false">SUMPRODUCT(Base!$B$17:$K$17,1/(1+B26)^Base!$B$15:$K$15)+Base!$K$17*(1+Base!$B$9)/(B26-Base!$B$9)/(1+B26)^10</f>
        <v>87.2235689903754</v>
      </c>
    </row>
    <row r="27" customFormat="false" ht="15" hidden="false" customHeight="false" outlineLevel="0" collapsed="false">
      <c r="A27" s="9" t="s">
        <v>23</v>
      </c>
    </row>
    <row r="29" customFormat="false" ht="19.5" hidden="false" customHeight="true" outlineLevel="0" collapsed="false">
      <c r="A29" s="5" t="s">
        <v>24</v>
      </c>
      <c r="B29" s="6"/>
      <c r="C29" s="6"/>
      <c r="D29" s="6"/>
      <c r="E29" s="6"/>
    </row>
    <row r="30" customFormat="false" ht="15" hidden="false" customHeight="false" outlineLevel="0" collapsed="false">
      <c r="A30" s="9" t="s">
        <v>25</v>
      </c>
    </row>
    <row r="31" customFormat="false" ht="15" hidden="false" customHeight="false" outlineLevel="0" collapsed="false">
      <c r="A31" s="9" t="s">
        <v>26</v>
      </c>
    </row>
    <row r="32" customFormat="false" ht="15" hidden="false" customHeight="false" outlineLevel="0" collapsed="false">
      <c r="A32" s="9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0.08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0.035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0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0.083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0.08</v>
      </c>
      <c r="C16" s="19" t="n">
        <f aca="false">$B$8</f>
        <v>0.08</v>
      </c>
      <c r="D16" s="19" t="n">
        <f aca="false">$B$8</f>
        <v>0.08</v>
      </c>
      <c r="E16" s="19" t="n">
        <f aca="false">$B$8</f>
        <v>0.08</v>
      </c>
      <c r="F16" s="19" t="n">
        <f aca="false">$B$8</f>
        <v>0.08</v>
      </c>
      <c r="G16" s="19" t="n">
        <f aca="false">$B$8+($B$9-$B$8)*(G15-5)/5</f>
        <v>0.071</v>
      </c>
      <c r="H16" s="19" t="n">
        <f aca="false">$B$8+($B$9-$B$8)*(H15-5)/5</f>
        <v>0.062</v>
      </c>
      <c r="I16" s="19" t="n">
        <f aca="false">$B$8+($B$9-$B$8)*(I15-5)/5</f>
        <v>0.053</v>
      </c>
      <c r="J16" s="19" t="n">
        <f aca="false">$B$8+($B$9-$B$8)*(J15-5)/5</f>
        <v>0.044</v>
      </c>
      <c r="K16" s="19" t="n">
        <f aca="false">$B$8+($B$9-$B$8)*(K15-5)/5</f>
        <v>0.035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3.8664</v>
      </c>
      <c r="C17" s="17" t="n">
        <f aca="false">B17*(1+C16)</f>
        <v>4.175712</v>
      </c>
      <c r="D17" s="17" t="n">
        <f aca="false">C17*(1+D16)</f>
        <v>4.50976896</v>
      </c>
      <c r="E17" s="17" t="n">
        <f aca="false">D17*(1+E16)</f>
        <v>4.8705504768</v>
      </c>
      <c r="F17" s="17" t="n">
        <f aca="false">E17*(1+F16)</f>
        <v>5.260194514944</v>
      </c>
      <c r="G17" s="17" t="n">
        <f aca="false">F17*(1+G16)</f>
        <v>5.63366832550503</v>
      </c>
      <c r="H17" s="17" t="n">
        <f aca="false">G17*(1+H16)</f>
        <v>5.98295576168634</v>
      </c>
      <c r="I17" s="17" t="n">
        <f aca="false">H17*(1+I16)</f>
        <v>6.30005241705571</v>
      </c>
      <c r="J17" s="17" t="n">
        <f aca="false">I17*(1+J16)</f>
        <v>6.57725472340617</v>
      </c>
      <c r="K17" s="17" t="n">
        <f aca="false">J17*(1+K16)</f>
        <v>6.80745863872538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0.923361034164358</v>
      </c>
      <c r="C18" s="25" t="n">
        <f aca="false">1/(1+$B$11)^C15</f>
        <v>0.852595599413073</v>
      </c>
      <c r="D18" s="25" t="n">
        <f aca="false">1/(1+$B$11)^D15</f>
        <v>0.787253554398036</v>
      </c>
      <c r="E18" s="25" t="n">
        <f aca="false">1/(1+$B$11)^E15</f>
        <v>0.726919256138538</v>
      </c>
      <c r="F18" s="25" t="n">
        <f aca="false">1/(1+$B$11)^F15</f>
        <v>0.671208916102066</v>
      </c>
      <c r="G18" s="25" t="n">
        <f aca="false">1/(1+$B$11)^G15</f>
        <v>0.619768158912342</v>
      </c>
      <c r="H18" s="25" t="n">
        <f aca="false">1/(1+$B$11)^H15</f>
        <v>0.57226976815544</v>
      </c>
      <c r="I18" s="25" t="n">
        <f aca="false">1/(1+$B$11)^I15</f>
        <v>0.528411604945005</v>
      </c>
      <c r="J18" s="25" t="n">
        <f aca="false">1/(1+$B$11)^J15</f>
        <v>0.487914686006468</v>
      </c>
      <c r="K18" s="25" t="n">
        <f aca="false">1/(1+$B$11)^K15</f>
        <v>0.450521409054911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3.57008310249308</v>
      </c>
      <c r="C19" s="26" t="n">
        <f aca="false">C17*C18</f>
        <v>3.56019367561636</v>
      </c>
      <c r="D19" s="26" t="n">
        <f aca="false">D17*D18</f>
        <v>3.55033164327394</v>
      </c>
      <c r="E19" s="26" t="n">
        <f aca="false">E17*E18</f>
        <v>3.54049692958066</v>
      </c>
      <c r="F19" s="26" t="n">
        <f aca="false">F17*F18</f>
        <v>3.5306894588616</v>
      </c>
      <c r="G19" s="26" t="n">
        <f aca="false">G17*G18</f>
        <v>3.49156824602103</v>
      </c>
      <c r="H19" s="26" t="n">
        <f aca="false">H17*H18</f>
        <v>3.4238647066245</v>
      </c>
      <c r="I19" s="26" t="n">
        <f aca="false">I17*I18</f>
        <v>3.32902080893407</v>
      </c>
      <c r="J19" s="26" t="n">
        <f aca="false">J17*J18</f>
        <v>3.20913917315528</v>
      </c>
      <c r="K19" s="26" t="n">
        <f aca="false">K17*K18</f>
        <v>3.06690585800158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34.2722936025621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146.785826897516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66.1301575631591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100.402451165721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59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0.06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0.03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0.01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0.093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0.06</v>
      </c>
      <c r="C16" s="19" t="n">
        <f aca="false">$B$8</f>
        <v>0.06</v>
      </c>
      <c r="D16" s="19" t="n">
        <f aca="false">$B$8</f>
        <v>0.06</v>
      </c>
      <c r="E16" s="19" t="n">
        <f aca="false">$B$8</f>
        <v>0.06</v>
      </c>
      <c r="F16" s="19" t="n">
        <f aca="false">$B$8</f>
        <v>0.06</v>
      </c>
      <c r="G16" s="19" t="n">
        <f aca="false">$B$8+($B$9-$B$8)*(G15-5)/5</f>
        <v>0.054</v>
      </c>
      <c r="H16" s="19" t="n">
        <f aca="false">$B$8+($B$9-$B$8)*(H15-5)/5</f>
        <v>0.048</v>
      </c>
      <c r="I16" s="19" t="n">
        <f aca="false">$B$8+($B$9-$B$8)*(I15-5)/5</f>
        <v>0.042</v>
      </c>
      <c r="J16" s="19" t="n">
        <f aca="false">$B$8+($B$9-$B$8)*(J15-5)/5</f>
        <v>0.036</v>
      </c>
      <c r="K16" s="19" t="n">
        <f aca="false">$B$8+($B$9-$B$8)*(K15-5)/5</f>
        <v>0.03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3.7948</v>
      </c>
      <c r="C17" s="17" t="n">
        <f aca="false">B17*(1+C16)</f>
        <v>4.022488</v>
      </c>
      <c r="D17" s="17" t="n">
        <f aca="false">C17*(1+D16)</f>
        <v>4.26383728</v>
      </c>
      <c r="E17" s="17" t="n">
        <f aca="false">D17*(1+E16)</f>
        <v>4.5196675168</v>
      </c>
      <c r="F17" s="17" t="n">
        <f aca="false">E17*(1+F16)</f>
        <v>4.790847567808</v>
      </c>
      <c r="G17" s="17" t="n">
        <f aca="false">F17*(1+G16)</f>
        <v>5.04955333646964</v>
      </c>
      <c r="H17" s="17" t="n">
        <f aca="false">G17*(1+H16)</f>
        <v>5.29193189662018</v>
      </c>
      <c r="I17" s="17" t="n">
        <f aca="false">H17*(1+I16)</f>
        <v>5.51419303627822</v>
      </c>
      <c r="J17" s="17" t="n">
        <f aca="false">I17*(1+J16)</f>
        <v>5.71270398558424</v>
      </c>
      <c r="K17" s="17" t="n">
        <f aca="false">J17*(1+K16)</f>
        <v>5.88408510515177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0.914913083257091</v>
      </c>
      <c r="C18" s="25" t="n">
        <f aca="false">1/(1+$B$11)^C15</f>
        <v>0.837065949914996</v>
      </c>
      <c r="D18" s="25" t="n">
        <f aca="false">1/(1+$B$11)^D15</f>
        <v>0.765842589126254</v>
      </c>
      <c r="E18" s="25" t="n">
        <f aca="false">1/(1+$B$11)^E15</f>
        <v>0.700679404507095</v>
      </c>
      <c r="F18" s="25" t="n">
        <f aca="false">1/(1+$B$11)^F15</f>
        <v>0.641060754352328</v>
      </c>
      <c r="G18" s="25" t="n">
        <f aca="false">1/(1+$B$11)^G15</f>
        <v>0.586514871319605</v>
      </c>
      <c r="H18" s="25" t="n">
        <f aca="false">1/(1+$B$11)^H15</f>
        <v>0.536610129295155</v>
      </c>
      <c r="I18" s="25" t="n">
        <f aca="false">1/(1+$B$11)^I15</f>
        <v>0.490951627900417</v>
      </c>
      <c r="J18" s="25" t="n">
        <f aca="false">1/(1+$B$11)^J15</f>
        <v>0.449178067612458</v>
      </c>
      <c r="K18" s="25" t="n">
        <f aca="false">1/(1+$B$11)^K15</f>
        <v>0.410958890770776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3.47191216834401</v>
      </c>
      <c r="C19" s="26" t="n">
        <f aca="false">C17*C18</f>
        <v>3.36708773874167</v>
      </c>
      <c r="D19" s="26" t="n">
        <f aca="false">D17*D18</f>
        <v>3.26542818212825</v>
      </c>
      <c r="E19" s="26" t="n">
        <f aca="false">E17*E18</f>
        <v>3.16683794424148</v>
      </c>
      <c r="F19" s="26" t="n">
        <f aca="false">F17*F18</f>
        <v>3.07122435580602</v>
      </c>
      <c r="G19" s="26" t="n">
        <f aca="false">G17*G18</f>
        <v>2.96163812536097</v>
      </c>
      <c r="H19" s="26" t="n">
        <f aca="false">H17*H18</f>
        <v>2.83970425926651</v>
      </c>
      <c r="I19" s="26" t="n">
        <f aca="false">I17*I18</f>
        <v>2.70720204771794</v>
      </c>
      <c r="J19" s="26" t="n">
        <f aca="false">J17*J18</f>
        <v>2.56602133708672</v>
      </c>
      <c r="K19" s="26" t="n">
        <f aca="false">K17*K18</f>
        <v>2.41811708801402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29.8351732467076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96.2001215604178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39.5342952484831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69.3694684951907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60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0.09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0.04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-0.005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0.078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0.09</v>
      </c>
      <c r="C16" s="19" t="n">
        <f aca="false">$B$8</f>
        <v>0.09</v>
      </c>
      <c r="D16" s="19" t="n">
        <f aca="false">$B$8</f>
        <v>0.09</v>
      </c>
      <c r="E16" s="19" t="n">
        <f aca="false">$B$8</f>
        <v>0.09</v>
      </c>
      <c r="F16" s="19" t="n">
        <f aca="false">$B$8</f>
        <v>0.09</v>
      </c>
      <c r="G16" s="19" t="n">
        <f aca="false">$B$8+($B$9-$B$8)*(G15-5)/5</f>
        <v>0.08</v>
      </c>
      <c r="H16" s="19" t="n">
        <f aca="false">$B$8+($B$9-$B$8)*(H15-5)/5</f>
        <v>0.07</v>
      </c>
      <c r="I16" s="19" t="n">
        <f aca="false">$B$8+($B$9-$B$8)*(I15-5)/5</f>
        <v>0.06</v>
      </c>
      <c r="J16" s="19" t="n">
        <f aca="false">$B$8+($B$9-$B$8)*(J15-5)/5</f>
        <v>0.05</v>
      </c>
      <c r="K16" s="19" t="n">
        <f aca="false">$B$8+($B$9-$B$8)*(K15-5)/5</f>
        <v>0.04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3.9022</v>
      </c>
      <c r="C17" s="17" t="n">
        <f aca="false">B17*(1+C16)</f>
        <v>4.253398</v>
      </c>
      <c r="D17" s="17" t="n">
        <f aca="false">C17*(1+D16)</f>
        <v>4.63620382</v>
      </c>
      <c r="E17" s="17" t="n">
        <f aca="false">D17*(1+E16)</f>
        <v>5.0534621638</v>
      </c>
      <c r="F17" s="17" t="n">
        <f aca="false">E17*(1+F16)</f>
        <v>5.508273758542</v>
      </c>
      <c r="G17" s="17" t="n">
        <f aca="false">F17*(1+G16)</f>
        <v>5.94893565922536</v>
      </c>
      <c r="H17" s="17" t="n">
        <f aca="false">G17*(1+H16)</f>
        <v>6.36536115537114</v>
      </c>
      <c r="I17" s="17" t="n">
        <f aca="false">H17*(1+I16)</f>
        <v>6.74728282469341</v>
      </c>
      <c r="J17" s="17" t="n">
        <f aca="false">I17*(1+J16)</f>
        <v>7.08464696592808</v>
      </c>
      <c r="K17" s="17" t="n">
        <f aca="false">J17*(1+K16)</f>
        <v>7.3680328445652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0.927643784786642</v>
      </c>
      <c r="C18" s="25" t="n">
        <f aca="false">1/(1+$B$11)^C15</f>
        <v>0.860522991453286</v>
      </c>
      <c r="D18" s="25" t="n">
        <f aca="false">1/(1+$B$11)^D15</f>
        <v>0.798258804687649</v>
      </c>
      <c r="E18" s="25" t="n">
        <f aca="false">1/(1+$B$11)^E15</f>
        <v>0.740499818819711</v>
      </c>
      <c r="F18" s="25" t="n">
        <f aca="false">1/(1+$B$11)^F15</f>
        <v>0.68692005456374</v>
      </c>
      <c r="G18" s="25" t="n">
        <f aca="false">1/(1+$B$11)^G15</f>
        <v>0.637217119261354</v>
      </c>
      <c r="H18" s="25" t="n">
        <f aca="false">1/(1+$B$11)^H15</f>
        <v>0.591110500242443</v>
      </c>
      <c r="I18" s="25" t="n">
        <f aca="false">1/(1+$B$11)^I15</f>
        <v>0.548339981672025</v>
      </c>
      <c r="J18" s="25" t="n">
        <f aca="false">1/(1+$B$11)^J15</f>
        <v>0.508664175948075</v>
      </c>
      <c r="K18" s="25" t="n">
        <f aca="false">1/(1+$B$11)^K15</f>
        <v>0.471859161361851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3.61985157699443</v>
      </c>
      <c r="C19" s="26" t="n">
        <f aca="false">C17*C18</f>
        <v>3.66014677080142</v>
      </c>
      <c r="D19" s="26" t="n">
        <f aca="false">D17*D18</f>
        <v>3.70089051964151</v>
      </c>
      <c r="E19" s="26" t="n">
        <f aca="false">E17*E18</f>
        <v>3.74208781670617</v>
      </c>
      <c r="F19" s="26" t="n">
        <f aca="false">F17*F18</f>
        <v>3.78374371076969</v>
      </c>
      <c r="G19" s="26" t="n">
        <f aca="false">G17*G18</f>
        <v>3.79076364344273</v>
      </c>
      <c r="H19" s="26" t="n">
        <f aca="false">H17*H18</f>
        <v>3.76263181677525</v>
      </c>
      <c r="I19" s="26" t="n">
        <f aca="false">I17*I18</f>
        <v>3.69980494042835</v>
      </c>
      <c r="J19" s="26" t="n">
        <f aca="false">J17*J18</f>
        <v>3.60370611080684</v>
      </c>
      <c r="K19" s="26" t="n">
        <f aca="false">K17*K18</f>
        <v>3.47667379892311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36.8403007052895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201.651425219679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95.1510723915799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131.991373096869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2026-10-22T20:06:02Z</dcterms:modified>
  <cp:revision>0</cp:revision>
  <dc:subject/>
  <dc:title>American Water Works (AWK)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