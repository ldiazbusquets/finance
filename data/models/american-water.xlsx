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Base" sheetId="2" state="visible" r:id="rId4"/>
    <sheet name="Bear" sheetId="3" state="visible" r:id="rId5"/>
    <sheet name="Bull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<sst xmlns="http://schemas.openxmlformats.org/spreadsheetml/2006/main" count="134" uniqueCount="61">
  <si>
    <t xml:space="preserve">LDB FINANCE</t>
  </si>
  <si>
    <t xml:space="preserve">American Water Works (AWK)</t>
  </si>
  <si>
    <t xml:space="preserve">Dividend discount model  ·  Inputs in blue can be changed; everything else recalculates.</t>
  </si>
  <si>
    <t xml:space="preserve">COST OF EQUITY (CAPM)</t>
  </si>
  <si>
    <t xml:space="preserve">Risk-free rate (10-year Treasury)</t>
  </si>
  <si>
    <t xml:space="preserve">FRED, October 2026</t>
  </si>
  <si>
    <t xml:space="preserve">Equity risk premium</t>
  </si>
  <si>
    <t xml:space="preserve">Long-run U.S. premium</t>
  </si>
  <si>
    <t xml:space="preserve">Beta</t>
  </si>
  <si>
    <t xml:space="preserve">Measured against the S&amp;P 500</t>
  </si>
  <si>
    <t xml:space="preserve">Cost of equity</t>
  </si>
  <si>
    <t xml:space="preserve">SCENARIOS</t>
  </si>
  <si>
    <t xml:space="preserve">Bear</t>
  </si>
  <si>
    <t xml:space="preserve">Base</t>
  </si>
  <si>
    <t xml:space="preserve">Bull</t>
  </si>
  <si>
    <t xml:space="preserve">Value ($ per share)</t>
  </si>
  <si>
    <t xml:space="preserve">Probability</t>
  </si>
  <si>
    <t xml:space="preserve">Probability-weighted value ($ per share)</t>
  </si>
  <si>
    <t xml:space="preserve">Price at writing ($)</t>
  </si>
  <si>
    <t xml:space="preserve">Weighted value against the price</t>
  </si>
  <si>
    <t xml:space="preserve">SENSITIVITY</t>
  </si>
  <si>
    <t xml:space="preserve">Base case, repriced at</t>
  </si>
  <si>
    <t xml:space="preserve">Value per share ($)</t>
  </si>
  <si>
    <t xml:space="preserve">Each row reprices the base case at that cost of equity.</t>
  </si>
  <si>
    <t xml:space="preserve">ABOUT THIS WORKBOOK</t>
  </si>
  <si>
    <t xml:space="preserve">Blue cells are inputs; black cells are formulas; green cells link to another sheet. Change any blue cell and the whole model recalculates.</t>
  </si>
  <si>
    <t xml:space="preserve">Built from the model script https://github.com/ldiazbusquets/finance/blob/main/_source/models/awk.py, and checked against it each time the file is made.</t>
  </si>
  <si>
    <t xml:space="preserve">For education only. Not investment advice.</t>
  </si>
  <si>
    <t xml:space="preserve">Base case: dividends per share, $</t>
  </si>
  <si>
    <t xml:space="preserve">INPUTS</t>
  </si>
  <si>
    <t xml:space="preserve">Dividend, last 12 months ($)</t>
  </si>
  <si>
    <t xml:space="preserve">Company filings</t>
  </si>
  <si>
    <t xml:space="preserve">Dividend growth, years 1-5</t>
  </si>
  <si>
    <t xml:space="preserve">Company 7-9% EPS and dividend target</t>
  </si>
  <si>
    <t xml:space="preserve">Long-run growth, from year 10</t>
  </si>
  <si>
    <t xml:space="preserve">Growth fades to it over years 6-10</t>
  </si>
  <si>
    <t xml:space="preserve">Cost of equity shift for this case</t>
  </si>
  <si>
    <t xml:space="preserve">DIVIDENDS</t>
  </si>
  <si>
    <t xml:space="preserve">Year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</si>
  <si>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</si>
  <si>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</si>
  <si>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</si>
  <si>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</si>
  <si>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</si>
  <si>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</si>
  <si>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</si>
  <si>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</si>
  <si>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</si>
  <si>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</si>
  <si>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Year number</t>
  </si>
  <si>
    <t xml:space="preserve">Dividend growth</t>
  </si>
  <si>
    <t xml:space="preserve">Dividend per share ($)</t>
  </si>
  <si>
    <t xml:space="preserve">Discount factor</t>
  </si>
  <si>
    <t xml:space="preserve">Present value ($)</t>
  </si>
  <si>
    <t xml:space="preserve">VALUE PER SHARE</t>
  </si>
  <si>
    <t xml:space="preserve">Present value of ten years of dividends ($)</t>
  </si>
  <si>
    <t xml:space="preserve">Terminal value ($)</t>
  </si>
  <si>
    <t xml:space="preserve">D10 x (1 + g) / (cost of equity - g)</t>
  </si>
  <si>
    <t xml:space="preserve">Present value of terminal value ($)</t>
  </si>
  <si>
    <t xml:space="preserve">Bear case: dividends per share, $</t>
  </si>
  <si>
    <t xml:space="preserve">Bull case: dividends per share, $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</si>
</sst>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%;\(0.00%\);\-"/>
    <numFmt numFmtId="166" formatCode="0.000"/>
    <numFmt numFmtId="167" formatCode="\$#,##0.00;&quot;($&quot;#,##0.00\);\-"/>
    <numFmt numFmtId="168" formatCode="0.0%;\(0.0%\);\-"/>
    <numFmt numFmtId="169" formatCode="0"/>
    <numFmt numFmtId="170" formatCode="0.0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C58B5C"/>
      <name val="Arial"/>
      <family val="0"/>
      <charset val="1"/>
    </font>
    <font>
      <b val="true"/>
      <sz val="16"/>
      <color rgb="FFF4EDE4"/>
      <name val="Arial"/>
      <family val="0"/>
      <charset val="1"/>
    </font>
    <font>
      <sz val="9"/>
      <color rgb="FFA8998A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7A6E62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9"/>
      <color rgb="FFF4EDE4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C0A08"/>
        <bgColor rgb="FF000000"/>
      </patternFill>
    </fill>
    <fill>
      <patternFill patternType="solid">
        <fgColor rgb="FF1B1511"/>
        <bgColor rgb="FF0C0A08"/>
      </patternFill>
    </fill>
    <fill>
      <patternFill patternType="solid">
        <fgColor rgb="FFFFF8E7"/>
        <bgColor rgb="FFF4EDE4"/>
      </patternFill>
    </fill>
    <fill>
      <patternFill patternType="solid">
        <fgColor rgb="FFF3E3D3"/>
        <bgColor rgb="FFE6DDD2"/>
      </patternFill>
    </fill>
    <fill>
      <patternFill patternType="solid">
        <fgColor rgb="FF2A211A"/>
        <bgColor rgb="FF1B1511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6DDD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1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8E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A6E62"/>
      <rgbColor rgb="FF9999FF"/>
      <rgbColor rgb="FF993366"/>
      <rgbColor rgb="FFF4EDE4"/>
      <rgbColor rgb="FFCCFFFF"/>
      <rgbColor rgb="FF660066"/>
      <rgbColor rgb="FFC58B5C"/>
      <rgbColor rgb="FF0066CC"/>
      <rgbColor rgb="FFE6DD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3E3D3"/>
      <rgbColor rgb="FF3366FF"/>
      <rgbColor rgb="FF33CCCC"/>
      <rgbColor rgb="FF99CC00"/>
      <rgbColor rgb="FFFFCC00"/>
      <rgbColor rgb="FFFF9900"/>
      <rgbColor rgb="FFFF6600"/>
      <rgbColor rgb="FF666699"/>
      <rgbColor rgb="FFA8998A"/>
      <rgbColor rgb="FF003366"/>
      <rgbColor rgb="FF339966"/>
      <rgbColor rgb="FF0C0A08"/>
      <rgbColor rgb="FF1B1511"/>
      <rgbColor rgb="FF993300"/>
      <rgbColor rgb="FF993366"/>
      <rgbColor rgb="FF333399"/>
      <rgbColor rgb="FF2A21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5"/>
    <col collapsed="false" customWidth="true" hidden="false" outlineLevel="0" max="5" min="5" style="0" width="58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</row>
    <row r="2" customFormat="false" ht="25.5" hidden="false" customHeight="true" outlineLevel="0" collapsed="false">
      <c r="A2" s="3" t="s">
        <v>1</v>
      </c>
      <c r="B2" s="2"/>
      <c r="C2" s="2"/>
      <c r="D2" s="2"/>
      <c r="E2" s="2"/>
    </row>
    <row r="3" customFormat="false" ht="15" hidden="false" customHeight="false" outlineLevel="0" collapsed="false">
      <c r="A3" s="4" t="s">
        <v>2</v>
      </c>
      <c r="B3" s="2"/>
      <c r="C3" s="2"/>
      <c r="D3" s="2"/>
      <c r="E3" s="2"/>
    </row>
    <row r="4" customFormat="false" ht="15" hidden="false" customHeight="false" outlineLevel="0" collapsed="false">
      <c r="A4" s="2"/>
      <c r="B4" s="2"/>
      <c r="C4" s="2"/>
      <c r="D4" s="2"/>
      <c r="E4" s="2"/>
    </row>
    <row r="6" customFormat="false" ht="19.5" hidden="false" customHeight="true" outlineLevel="0" collapsed="false">
      <c r="A6" s="5" t="s">
        <v>3</v>
      </c>
      <c r="B6" s="6"/>
      <c r="C6" s="6"/>
      <c r="D6" s="6"/>
      <c r="E6" s="6"/>
    </row>
    <row r="7" customFormat="false" ht="15" hidden="false" customHeight="false" outlineLevel="0" collapsed="false">
      <c r="A7" s="7" t="s">
        <v>4</v>
      </c>
      <c r="B7" s="8" t="n">
        <v>0.0515</v>
      </c>
      <c r="E7" s="9" t="s">
        <v>5</v>
      </c>
    </row>
    <row r="8" customFormat="false" ht="15" hidden="false" customHeight="false" outlineLevel="0" collapsed="false">
      <c r="A8" s="7" t="s">
        <v>6</v>
      </c>
      <c r="B8" s="8" t="n">
        <v>0.045</v>
      </c>
      <c r="E8" s="9" t="s">
        <v>7</v>
      </c>
    </row>
    <row r="9" customFormat="false" ht="15" hidden="false" customHeight="false" outlineLevel="0" collapsed="false">
      <c r="A9" s="7" t="s">
        <v>8</v>
      </c>
      <c r="B9" s="10" t="n">
        <v>0.7</v>
      </c>
      <c r="E9" s="9" t="s">
        <v>9</v>
      </c>
    </row>
    <row r="10" customFormat="false" ht="15" hidden="false" customHeight="false" outlineLevel="0" collapsed="false">
      <c r="A10" s="11" t="s">
        <v>10</v>
      </c>
      <c r="B10" s="12" t="n">
        <f aca="false">B7+B9*B8</f>
        <v>0.083</v>
      </c>
    </row>
    <row r="12" customFormat="false" ht="19.5" hidden="false" customHeight="true" outlineLevel="0" collapsed="false">
      <c r="A12" s="5" t="s">
        <v>11</v>
      </c>
      <c r="B12" s="6"/>
      <c r="C12" s="6"/>
      <c r="D12" s="6"/>
      <c r="E12" s="6"/>
    </row>
    <row r="13" customFormat="false" ht="30" hidden="false" customHeight="true" outlineLevel="0" collapsed="false">
      <c r="A13" s="13"/>
      <c r="B13" s="14" t="s">
        <v>12</v>
      </c>
      <c r="C13" s="14" t="s">
        <v>13</v>
      </c>
      <c r="D13" s="14" t="s">
        <v>14</v>
      </c>
    </row>
    <row r="14" customFormat="false" ht="15" hidden="false" customHeight="false" outlineLevel="0" collapsed="false">
      <c r="A14" s="7" t="s">
        <v>15</v>
      </c>
      <c r="B14" s="15" t="n">
        <f aca="false">Bear!$B$25</f>
        <v>69.3694684951907</v>
      </c>
      <c r="C14" s="15" t="n">
        <f aca="false">Base!$B$25</f>
        <v>100.402451165721</v>
      </c>
      <c r="D14" s="15" t="n">
        <f aca="false">Bull!$B$25</f>
        <v>131.991373096869</v>
      </c>
    </row>
    <row r="15" customFormat="false" ht="15" hidden="false" customHeight="false" outlineLevel="0" collapsed="false">
      <c r="A15" s="7" t="s">
        <v>16</v>
      </c>
      <c r="B15" s="16" t="n">
        <v>0.25</v>
      </c>
      <c r="C15" s="16" t="n">
        <v>0.5</v>
      </c>
      <c r="D15" s="16" t="n">
        <v>0.25</v>
      </c>
    </row>
    <row r="16" customFormat="false" ht="15" hidden="false" customHeight="false" outlineLevel="0" collapsed="false">
      <c r="A16" s="11" t="s">
        <v>17</v>
      </c>
      <c r="C16" s="17" t="n">
        <f aca="false">SUMPRODUCT(B14:D14,B15:D15)</f>
        <v>100.541435980876</v>
      </c>
    </row>
    <row r="17" customFormat="false" ht="15" hidden="false" customHeight="false" outlineLevel="0" collapsed="false">
      <c r="A17" s="7" t="s">
        <v>18</v>
      </c>
      <c r="C17" s="18" t="n">
        <v>135.79</v>
      </c>
    </row>
    <row r="18" customFormat="false" ht="15" hidden="false" customHeight="false" outlineLevel="0" collapsed="false">
      <c r="A18" s="7" t="s">
        <v>19</v>
      </c>
      <c r="C18" s="19" t="n">
        <f aca="false">C16/C17-1</f>
        <v>-0.259581442073234</v>
      </c>
    </row>
    <row r="20" customFormat="false" ht="19.5" hidden="false" customHeight="true" outlineLevel="0" collapsed="false">
      <c r="A20" s="5" t="s">
        <v>20</v>
      </c>
      <c r="B20" s="6"/>
      <c r="C20" s="6"/>
      <c r="D20" s="6"/>
      <c r="E20" s="6"/>
    </row>
    <row r="21" customFormat="false" ht="30" hidden="false" customHeight="true" outlineLevel="0" collapsed="false">
      <c r="A21" s="13" t="s">
        <v>21</v>
      </c>
      <c r="B21" s="14" t="s">
        <v>10</v>
      </c>
      <c r="C21" s="14" t="s">
        <v>22</v>
      </c>
    </row>
    <row r="22" customFormat="false" ht="15" hidden="false" customHeight="false" outlineLevel="0" collapsed="false">
      <c r="A22" s="20"/>
      <c r="B22" s="21" t="n">
        <v>0.07</v>
      </c>
      <c r="C22" s="22" t="n">
        <f aca="false">SUMPRODUCT(Base!$B$17:$K$17,1/(1+B22)^Base!$B$15:$K$15)+Base!$K$17*(1+Base!$B$9)/(B22-Base!$B$9)/(1+B22)^10</f>
        <v>138.926750998182</v>
      </c>
    </row>
    <row r="23" customFormat="false" ht="15" hidden="false" customHeight="false" outlineLevel="0" collapsed="false">
      <c r="A23" s="20"/>
      <c r="B23" s="21" t="n">
        <v>0.075</v>
      </c>
      <c r="C23" s="22" t="n">
        <f aca="false">SUMPRODUCT(Base!$B$17:$K$17,1/(1+B23)^Base!$B$15:$K$15)+Base!$K$17*(1+Base!$B$9)/(B23-Base!$B$9)/(1+B23)^10</f>
        <v>121.137466776543</v>
      </c>
    </row>
    <row r="24" customFormat="false" ht="15" hidden="false" customHeight="false" outlineLevel="0" collapsed="false">
      <c r="A24" s="20"/>
      <c r="B24" s="21" t="n">
        <v>0.08</v>
      </c>
      <c r="C24" s="22" t="n">
        <f aca="false">SUMPRODUCT(Base!$B$17:$K$17,1/(1+B24)^Base!$B$15:$K$15)+Base!$K$17*(1+Base!$B$9)/(B24-Base!$B$9)/(1+B24)^10</f>
        <v>107.311243347222</v>
      </c>
    </row>
    <row r="25" customFormat="false" ht="15" hidden="false" customHeight="false" outlineLevel="0" collapsed="false">
      <c r="A25" s="20"/>
      <c r="B25" s="21" t="n">
        <v>0.085</v>
      </c>
      <c r="C25" s="22" t="n">
        <f aca="false">SUMPRODUCT(Base!$B$17:$K$17,1/(1+B25)^Base!$B$15:$K$15)+Base!$K$17*(1+Base!$B$9)/(B25-Base!$B$9)/(1+B25)^10</f>
        <v>96.258865048139</v>
      </c>
    </row>
    <row r="26" customFormat="false" ht="15" hidden="false" customHeight="false" outlineLevel="0" collapsed="false">
      <c r="A26" s="20"/>
      <c r="B26" s="21" t="n">
        <v>0.09</v>
      </c>
      <c r="C26" s="22" t="n">
        <f aca="false">SUMPRODUCT(Base!$B$17:$K$17,1/(1+B26)^Base!$B$15:$K$15)+Base!$K$17*(1+Base!$B$9)/(B26-Base!$B$9)/(1+B26)^10</f>
        <v>87.2235689903754</v>
      </c>
    </row>
    <row r="27" customFormat="false" ht="15" hidden="false" customHeight="false" outlineLevel="0" collapsed="false">
      <c r="A27" s="9" t="s">
        <v>23</v>
      </c>
    </row>
    <row r="29" customFormat="false" ht="19.5" hidden="false" customHeight="true" outlineLevel="0" collapsed="false">
      <c r="A29" s="5" t="s">
        <v>24</v>
      </c>
      <c r="B29" s="6"/>
      <c r="C29" s="6"/>
      <c r="D29" s="6"/>
      <c r="E29" s="6"/>
    </row>
    <row r="30" customFormat="false" ht="15" hidden="false" customHeight="false" outlineLevel="0" collapsed="false">
      <c r="A30" s="9" t="s">
        <v>25</v>
      </c>
    </row>
    <row r="31" customFormat="false" ht="15" hidden="false" customHeight="false" outlineLevel="0" collapsed="false">
      <c r="A31" s="9" t="s">
        <v>26</v>
      </c>
    </row>
    <row r="32" customFormat="false" ht="15" hidden="false" customHeight="false" outlineLevel="0" collapsed="false">
      <c r="A32" s="9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1" min="2" style="0" width="11"/>
    <col collapsed="false" customWidth="true" hidden="false" outlineLevel="0" max="12" min="12" style="0" width="40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25.5" hidden="false" customHeight="tru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4" t="s">
        <v>28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6" customFormat="false" ht="19.5" hidden="false" customHeight="true" outlineLevel="0" collapsed="false">
      <c r="A6" s="5" t="s">
        <v>29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customFormat="false" ht="15" hidden="false" customHeight="false" outlineLevel="0" collapsed="false">
      <c r="A7" s="7" t="s">
        <v>30</v>
      </c>
      <c r="B7" s="18" t="n">
        <v>3.58</v>
      </c>
      <c r="C7" s="9" t="s">
        <v>31</v>
      </c>
    </row>
    <row r="8" customFormat="false" ht="15" hidden="false" customHeight="false" outlineLevel="0" collapsed="false">
      <c r="A8" s="7" t="s">
        <v>32</v>
      </c>
      <c r="B8" s="16" t="n">
        <v>0.08</v>
      </c>
      <c r="C8" s="9" t="s">
        <v>33</v>
      </c>
    </row>
    <row r="9" customFormat="false" ht="15" hidden="false" customHeight="false" outlineLevel="0" collapsed="false">
      <c r="A9" s="7" t="s">
        <v>34</v>
      </c>
      <c r="B9" s="16" t="n">
        <v>0.035</v>
      </c>
      <c r="C9" s="9" t="s">
        <v>35</v>
      </c>
    </row>
    <row r="10" customFormat="false" ht="15" hidden="false" customHeight="false" outlineLevel="0" collapsed="false">
      <c r="A10" s="7" t="s">
        <v>36</v>
      </c>
      <c r="B10" s="8" t="n">
        <v>0</v>
      </c>
    </row>
    <row r="11" customFormat="false" ht="15" hidden="false" customHeight="false" outlineLevel="0" collapsed="false">
      <c r="A11" s="7" t="s">
        <v>10</v>
      </c>
      <c r="B11" s="23" t="n">
        <f aca="false">Summary!$B$10+B10</f>
        <v>0.083</v>
      </c>
    </row>
    <row r="13" customFormat="false" ht="19.5" hidden="false" customHeight="true" outlineLevel="0" collapsed="false">
      <c r="A13" s="5" t="s">
        <v>37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</row>
    <row r="14" customFormat="false" ht="30" hidden="false" customHeight="true" outlineLevel="0" collapsed="false">
      <c r="A14" s="13" t="s">
        <v>38</v>
      </c>
      <c r="B14" s="14" t="s">
        <v>39</v>
      </c>
      <c r="C14" s="14" t="s">
        <v>40</v>
      </c>
      <c r="D14" s="14" t="s">
        <v>41</v>
      </c>
      <c r="E14" s="14" t="s">
        <v>42</v>
      </c>
      <c r="F14" s="14" t="s">
        <v>43</v>
      </c>
      <c r="G14" s="14" t="s">
        <v>44</v>
      </c>
      <c r="H14" s="14" t="s">
        <v>45</v>
      </c>
      <c r="I14" s="14" t="s">
        <v>46</v>
      </c>
      <c r="J14" s="14" t="s">
        <v>47</v>
      </c>
      <c r="K14" s="14" t="s">
        <v>48</v>
      </c>
    </row>
    <row r="15" customFormat="false" ht="15" hidden="false" customHeight="false" outlineLevel="0" collapsed="false">
      <c r="A15" s="7" t="s">
        <v>49</v>
      </c>
      <c r="B15" s="24" t="n">
        <v>1</v>
      </c>
      <c r="C15" s="24" t="n">
        <v>2</v>
      </c>
      <c r="D15" s="24" t="n">
        <v>3</v>
      </c>
      <c r="E15" s="24" t="n">
        <v>4</v>
      </c>
      <c r="F15" s="24" t="n">
        <v>5</v>
      </c>
      <c r="G15" s="24" t="n">
        <v>6</v>
      </c>
      <c r="H15" s="24" t="n">
        <v>7</v>
      </c>
      <c r="I15" s="24" t="n">
        <v>8</v>
      </c>
      <c r="J15" s="24" t="n">
        <v>9</v>
      </c>
      <c r="K15" s="24" t="n">
        <v>10</v>
      </c>
    </row>
    <row r="16" customFormat="false" ht="15" hidden="false" customHeight="false" outlineLevel="0" collapsed="false">
      <c r="A16" s="7" t="s">
        <v>50</v>
      </c>
      <c r="B16" s="19" t="n">
        <f aca="false">$B$8</f>
        <v>0.08</v>
      </c>
      <c r="C16" s="19" t="n">
        <f aca="false">$B$8</f>
        <v>0.08</v>
      </c>
      <c r="D16" s="19" t="n">
        <f aca="false">$B$8</f>
        <v>0.08</v>
      </c>
      <c r="E16" s="19" t="n">
        <f aca="false">$B$8</f>
        <v>0.08</v>
      </c>
      <c r="F16" s="19" t="n">
        <f aca="false">$B$8</f>
        <v>0.08</v>
      </c>
      <c r="G16" s="19" t="n">
        <f aca="false">$B$8+($B$9-$B$8)*(G15-5)/5</f>
        <v>0.071</v>
      </c>
      <c r="H16" s="19" t="n">
        <f aca="false">$B$8+($B$9-$B$8)*(H15-5)/5</f>
        <v>0.062</v>
      </c>
      <c r="I16" s="19" t="n">
        <f aca="false">$B$8+($B$9-$B$8)*(I15-5)/5</f>
        <v>0.053</v>
      </c>
      <c r="J16" s="19" t="n">
        <f aca="false">$B$8+($B$9-$B$8)*(J15-5)/5</f>
        <v>0.044</v>
      </c>
      <c r="K16" s="19" t="n">
        <f aca="false">$B$8+($B$9-$B$8)*(K15-5)/5</f>
        <v>0.035</v>
      </c>
    </row>
    <row r="17" customFormat="false" ht="15" hidden="false" customHeight="false" outlineLevel="0" collapsed="false">
      <c r="A17" s="11" t="s">
        <v>51</v>
      </c>
      <c r="B17" s="17" t="n">
        <f aca="false">$B$7*(1+B16)</f>
        <v>3.8664</v>
      </c>
      <c r="C17" s="17" t="n">
        <f aca="false">B17*(1+C16)</f>
        <v>4.175712</v>
      </c>
      <c r="D17" s="17" t="n">
        <f aca="false">C17*(1+D16)</f>
        <v>4.50976896</v>
      </c>
      <c r="E17" s="17" t="n">
        <f aca="false">D17*(1+E16)</f>
        <v>4.8705504768</v>
      </c>
      <c r="F17" s="17" t="n">
        <f aca="false">E17*(1+F16)</f>
        <v>5.260194514944</v>
      </c>
      <c r="G17" s="17" t="n">
        <f aca="false">F17*(1+G16)</f>
        <v>5.63366832550503</v>
      </c>
      <c r="H17" s="17" t="n">
        <f aca="false">G17*(1+H16)</f>
        <v>5.98295576168634</v>
      </c>
      <c r="I17" s="17" t="n">
        <f aca="false">H17*(1+I16)</f>
        <v>6.30005241705571</v>
      </c>
      <c r="J17" s="17" t="n">
        <f aca="false">I17*(1+J16)</f>
        <v>6.57725472340617</v>
      </c>
      <c r="K17" s="17" t="n">
        <f aca="false">J17*(1+K16)</f>
        <v>6.80745863872538</v>
      </c>
    </row>
    <row r="18" customFormat="false" ht="15" hidden="false" customHeight="false" outlineLevel="0" collapsed="false">
      <c r="A18" s="7" t="s">
        <v>52</v>
      </c>
      <c r="B18" s="25" t="n">
        <f aca="false">1/(1+$B$11)^B15</f>
        <v>0.923361034164358</v>
      </c>
      <c r="C18" s="25" t="n">
        <f aca="false">1/(1+$B$11)^C15</f>
        <v>0.852595599413073</v>
      </c>
      <c r="D18" s="25" t="n">
        <f aca="false">1/(1+$B$11)^D15</f>
        <v>0.787253554398036</v>
      </c>
      <c r="E18" s="25" t="n">
        <f aca="false">1/(1+$B$11)^E15</f>
        <v>0.726919256138538</v>
      </c>
      <c r="F18" s="25" t="n">
        <f aca="false">1/(1+$B$11)^F15</f>
        <v>0.671208916102066</v>
      </c>
      <c r="G18" s="25" t="n">
        <f aca="false">1/(1+$B$11)^G15</f>
        <v>0.619768158912342</v>
      </c>
      <c r="H18" s="25" t="n">
        <f aca="false">1/(1+$B$11)^H15</f>
        <v>0.57226976815544</v>
      </c>
      <c r="I18" s="25" t="n">
        <f aca="false">1/(1+$B$11)^I15</f>
        <v>0.528411604945005</v>
      </c>
      <c r="J18" s="25" t="n">
        <f aca="false">1/(1+$B$11)^J15</f>
        <v>0.487914686006468</v>
      </c>
      <c r="K18" s="25" t="n">
        <f aca="false">1/(1+$B$11)^K15</f>
        <v>0.450521409054911</v>
      </c>
    </row>
    <row r="19" customFormat="false" ht="15" hidden="false" customHeight="false" outlineLevel="0" collapsed="false">
      <c r="A19" s="7" t="s">
        <v>53</v>
      </c>
      <c r="B19" s="26" t="n">
        <f aca="false">B17*B18</f>
        <v>3.57008310249308</v>
      </c>
      <c r="C19" s="26" t="n">
        <f aca="false">C17*C18</f>
        <v>3.56019367561636</v>
      </c>
      <c r="D19" s="26" t="n">
        <f aca="false">D17*D18</f>
        <v>3.55033164327394</v>
      </c>
      <c r="E19" s="26" t="n">
        <f aca="false">E17*E18</f>
        <v>3.54049692958066</v>
      </c>
      <c r="F19" s="26" t="n">
        <f aca="false">F17*F18</f>
        <v>3.5306894588616</v>
      </c>
      <c r="G19" s="26" t="n">
        <f aca="false">G17*G18</f>
        <v>3.49156824602103</v>
      </c>
      <c r="H19" s="26" t="n">
        <f aca="false">H17*H18</f>
        <v>3.4238647066245</v>
      </c>
      <c r="I19" s="26" t="n">
        <f aca="false">I17*I18</f>
        <v>3.32902080893407</v>
      </c>
      <c r="J19" s="26" t="n">
        <f aca="false">J17*J18</f>
        <v>3.20913917315528</v>
      </c>
      <c r="K19" s="26" t="n">
        <f aca="false">K17*K18</f>
        <v>3.06690585800158</v>
      </c>
    </row>
    <row r="21" customFormat="false" ht="19.5" hidden="false" customHeight="true" outlineLevel="0" collapsed="false">
      <c r="A21" s="5" t="s">
        <v>54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</row>
    <row r="22" customFormat="false" ht="15" hidden="false" customHeight="false" outlineLevel="0" collapsed="false">
      <c r="A22" s="7" t="s">
        <v>55</v>
      </c>
      <c r="B22" s="26" t="n">
        <f aca="false">SUM(B19:K19)</f>
        <v>34.2722936025621</v>
      </c>
    </row>
    <row r="23" customFormat="false" ht="15" hidden="false" customHeight="false" outlineLevel="0" collapsed="false">
      <c r="A23" s="7" t="s">
        <v>56</v>
      </c>
      <c r="B23" s="26" t="n">
        <f aca="false">K17*(1+$B$9)/($B$11-$B$9)</f>
        <v>146.785826897516</v>
      </c>
      <c r="C23" s="9" t="s">
        <v>57</v>
      </c>
    </row>
    <row r="24" customFormat="false" ht="15" hidden="false" customHeight="false" outlineLevel="0" collapsed="false">
      <c r="A24" s="7" t="s">
        <v>58</v>
      </c>
      <c r="B24" s="26" t="n">
        <f aca="false">B23/(1+$B$11)^10</f>
        <v>66.1301575631591</v>
      </c>
    </row>
    <row r="25" customFormat="false" ht="15" hidden="false" customHeight="false" outlineLevel="0" collapsed="false">
      <c r="A25" s="11" t="s">
        <v>22</v>
      </c>
      <c r="B25" s="17" t="n">
        <f aca="false">B22+B24</f>
        <v>100.402451165721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1" min="2" style="0" width="11"/>
    <col collapsed="false" customWidth="true" hidden="false" outlineLevel="0" max="12" min="12" style="0" width="40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25.5" hidden="false" customHeight="tru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4" t="s">
        <v>59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6" customFormat="false" ht="19.5" hidden="false" customHeight="true" outlineLevel="0" collapsed="false">
      <c r="A6" s="5" t="s">
        <v>29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customFormat="false" ht="15" hidden="false" customHeight="false" outlineLevel="0" collapsed="false">
      <c r="A7" s="7" t="s">
        <v>30</v>
      </c>
      <c r="B7" s="18" t="n">
        <v>3.58</v>
      </c>
      <c r="C7" s="9" t="s">
        <v>31</v>
      </c>
    </row>
    <row r="8" customFormat="false" ht="15" hidden="false" customHeight="false" outlineLevel="0" collapsed="false">
      <c r="A8" s="7" t="s">
        <v>32</v>
      </c>
      <c r="B8" s="16" t="n">
        <v>0.06</v>
      </c>
      <c r="C8" s="9" t="s">
        <v>33</v>
      </c>
    </row>
    <row r="9" customFormat="false" ht="15" hidden="false" customHeight="false" outlineLevel="0" collapsed="false">
      <c r="A9" s="7" t="s">
        <v>34</v>
      </c>
      <c r="B9" s="16" t="n">
        <v>0.03</v>
      </c>
      <c r="C9" s="9" t="s">
        <v>35</v>
      </c>
    </row>
    <row r="10" customFormat="false" ht="15" hidden="false" customHeight="false" outlineLevel="0" collapsed="false">
      <c r="A10" s="7" t="s">
        <v>36</v>
      </c>
      <c r="B10" s="8" t="n">
        <v>0.01</v>
      </c>
    </row>
    <row r="11" customFormat="false" ht="15" hidden="false" customHeight="false" outlineLevel="0" collapsed="false">
      <c r="A11" s="7" t="s">
        <v>10</v>
      </c>
      <c r="B11" s="23" t="n">
        <f aca="false">Summary!$B$10+B10</f>
        <v>0.093</v>
      </c>
    </row>
    <row r="13" customFormat="false" ht="19.5" hidden="false" customHeight="true" outlineLevel="0" collapsed="false">
      <c r="A13" s="5" t="s">
        <v>37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</row>
    <row r="14" customFormat="false" ht="30" hidden="false" customHeight="true" outlineLevel="0" collapsed="false">
      <c r="A14" s="13" t="s">
        <v>38</v>
      </c>
      <c r="B14" s="14" t="s">
        <v>39</v>
      </c>
      <c r="C14" s="14" t="s">
        <v>40</v>
      </c>
      <c r="D14" s="14" t="s">
        <v>41</v>
      </c>
      <c r="E14" s="14" t="s">
        <v>42</v>
      </c>
      <c r="F14" s="14" t="s">
        <v>43</v>
      </c>
      <c r="G14" s="14" t="s">
        <v>44</v>
      </c>
      <c r="H14" s="14" t="s">
        <v>45</v>
      </c>
      <c r="I14" s="14" t="s">
        <v>46</v>
      </c>
      <c r="J14" s="14" t="s">
        <v>47</v>
      </c>
      <c r="K14" s="14" t="s">
        <v>48</v>
      </c>
    </row>
    <row r="15" customFormat="false" ht="15" hidden="false" customHeight="false" outlineLevel="0" collapsed="false">
      <c r="A15" s="7" t="s">
        <v>49</v>
      </c>
      <c r="B15" s="24" t="n">
        <v>1</v>
      </c>
      <c r="C15" s="24" t="n">
        <v>2</v>
      </c>
      <c r="D15" s="24" t="n">
        <v>3</v>
      </c>
      <c r="E15" s="24" t="n">
        <v>4</v>
      </c>
      <c r="F15" s="24" t="n">
        <v>5</v>
      </c>
      <c r="G15" s="24" t="n">
        <v>6</v>
      </c>
      <c r="H15" s="24" t="n">
        <v>7</v>
      </c>
      <c r="I15" s="24" t="n">
        <v>8</v>
      </c>
      <c r="J15" s="24" t="n">
        <v>9</v>
      </c>
      <c r="K15" s="24" t="n">
        <v>10</v>
      </c>
    </row>
    <row r="16" customFormat="false" ht="15" hidden="false" customHeight="false" outlineLevel="0" collapsed="false">
      <c r="A16" s="7" t="s">
        <v>50</v>
      </c>
      <c r="B16" s="19" t="n">
        <f aca="false">$B$8</f>
        <v>0.06</v>
      </c>
      <c r="C16" s="19" t="n">
        <f aca="false">$B$8</f>
        <v>0.06</v>
      </c>
      <c r="D16" s="19" t="n">
        <f aca="false">$B$8</f>
        <v>0.06</v>
      </c>
      <c r="E16" s="19" t="n">
        <f aca="false">$B$8</f>
        <v>0.06</v>
      </c>
      <c r="F16" s="19" t="n">
        <f aca="false">$B$8</f>
        <v>0.06</v>
      </c>
      <c r="G16" s="19" t="n">
        <f aca="false">$B$8+($B$9-$B$8)*(G15-5)/5</f>
        <v>0.054</v>
      </c>
      <c r="H16" s="19" t="n">
        <f aca="false">$B$8+($B$9-$B$8)*(H15-5)/5</f>
        <v>0.048</v>
      </c>
      <c r="I16" s="19" t="n">
        <f aca="false">$B$8+($B$9-$B$8)*(I15-5)/5</f>
        <v>0.042</v>
      </c>
      <c r="J16" s="19" t="n">
        <f aca="false">$B$8+($B$9-$B$8)*(J15-5)/5</f>
        <v>0.036</v>
      </c>
      <c r="K16" s="19" t="n">
        <f aca="false">$B$8+($B$9-$B$8)*(K15-5)/5</f>
        <v>0.03</v>
      </c>
    </row>
    <row r="17" customFormat="false" ht="15" hidden="false" customHeight="false" outlineLevel="0" collapsed="false">
      <c r="A17" s="11" t="s">
        <v>51</v>
      </c>
      <c r="B17" s="17" t="n">
        <f aca="false">$B$7*(1+B16)</f>
        <v>3.7948</v>
      </c>
      <c r="C17" s="17" t="n">
        <f aca="false">B17*(1+C16)</f>
        <v>4.022488</v>
      </c>
      <c r="D17" s="17" t="n">
        <f aca="false">C17*(1+D16)</f>
        <v>4.26383728</v>
      </c>
      <c r="E17" s="17" t="n">
        <f aca="false">D17*(1+E16)</f>
        <v>4.5196675168</v>
      </c>
      <c r="F17" s="17" t="n">
        <f aca="false">E17*(1+F16)</f>
        <v>4.790847567808</v>
      </c>
      <c r="G17" s="17" t="n">
        <f aca="false">F17*(1+G16)</f>
        <v>5.04955333646964</v>
      </c>
      <c r="H17" s="17" t="n">
        <f aca="false">G17*(1+H16)</f>
        <v>5.29193189662018</v>
      </c>
      <c r="I17" s="17" t="n">
        <f aca="false">H17*(1+I16)</f>
        <v>5.51419303627822</v>
      </c>
      <c r="J17" s="17" t="n">
        <f aca="false">I17*(1+J16)</f>
        <v>5.71270398558424</v>
      </c>
      <c r="K17" s="17" t="n">
        <f aca="false">J17*(1+K16)</f>
        <v>5.88408510515177</v>
      </c>
    </row>
    <row r="18" customFormat="false" ht="15" hidden="false" customHeight="false" outlineLevel="0" collapsed="false">
      <c r="A18" s="7" t="s">
        <v>52</v>
      </c>
      <c r="B18" s="25" t="n">
        <f aca="false">1/(1+$B$11)^B15</f>
        <v>0.914913083257091</v>
      </c>
      <c r="C18" s="25" t="n">
        <f aca="false">1/(1+$B$11)^C15</f>
        <v>0.837065949914996</v>
      </c>
      <c r="D18" s="25" t="n">
        <f aca="false">1/(1+$B$11)^D15</f>
        <v>0.765842589126254</v>
      </c>
      <c r="E18" s="25" t="n">
        <f aca="false">1/(1+$B$11)^E15</f>
        <v>0.700679404507095</v>
      </c>
      <c r="F18" s="25" t="n">
        <f aca="false">1/(1+$B$11)^F15</f>
        <v>0.641060754352328</v>
      </c>
      <c r="G18" s="25" t="n">
        <f aca="false">1/(1+$B$11)^G15</f>
        <v>0.586514871319605</v>
      </c>
      <c r="H18" s="25" t="n">
        <f aca="false">1/(1+$B$11)^H15</f>
        <v>0.536610129295155</v>
      </c>
      <c r="I18" s="25" t="n">
        <f aca="false">1/(1+$B$11)^I15</f>
        <v>0.490951627900417</v>
      </c>
      <c r="J18" s="25" t="n">
        <f aca="false">1/(1+$B$11)^J15</f>
        <v>0.449178067612458</v>
      </c>
      <c r="K18" s="25" t="n">
        <f aca="false">1/(1+$B$11)^K15</f>
        <v>0.410958890770776</v>
      </c>
    </row>
    <row r="19" customFormat="false" ht="15" hidden="false" customHeight="false" outlineLevel="0" collapsed="false">
      <c r="A19" s="7" t="s">
        <v>53</v>
      </c>
      <c r="B19" s="26" t="n">
        <f aca="false">B17*B18</f>
        <v>3.47191216834401</v>
      </c>
      <c r="C19" s="26" t="n">
        <f aca="false">C17*C18</f>
        <v>3.36708773874167</v>
      </c>
      <c r="D19" s="26" t="n">
        <f aca="false">D17*D18</f>
        <v>3.26542818212825</v>
      </c>
      <c r="E19" s="26" t="n">
        <f aca="false">E17*E18</f>
        <v>3.16683794424148</v>
      </c>
      <c r="F19" s="26" t="n">
        <f aca="false">F17*F18</f>
        <v>3.07122435580602</v>
      </c>
      <c r="G19" s="26" t="n">
        <f aca="false">G17*G18</f>
        <v>2.96163812536097</v>
      </c>
      <c r="H19" s="26" t="n">
        <f aca="false">H17*H18</f>
        <v>2.83970425926651</v>
      </c>
      <c r="I19" s="26" t="n">
        <f aca="false">I17*I18</f>
        <v>2.70720204771794</v>
      </c>
      <c r="J19" s="26" t="n">
        <f aca="false">J17*J18</f>
        <v>2.56602133708672</v>
      </c>
      <c r="K19" s="26" t="n">
        <f aca="false">K17*K18</f>
        <v>2.41811708801402</v>
      </c>
    </row>
    <row r="21" customFormat="false" ht="19.5" hidden="false" customHeight="true" outlineLevel="0" collapsed="false">
      <c r="A21" s="5" t="s">
        <v>54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</row>
    <row r="22" customFormat="false" ht="15" hidden="false" customHeight="false" outlineLevel="0" collapsed="false">
      <c r="A22" s="7" t="s">
        <v>55</v>
      </c>
      <c r="B22" s="26" t="n">
        <f aca="false">SUM(B19:K19)</f>
        <v>29.8351732467076</v>
      </c>
    </row>
    <row r="23" customFormat="false" ht="15" hidden="false" customHeight="false" outlineLevel="0" collapsed="false">
      <c r="A23" s="7" t="s">
        <v>56</v>
      </c>
      <c r="B23" s="26" t="n">
        <f aca="false">K17*(1+$B$9)/($B$11-$B$9)</f>
        <v>96.2001215604178</v>
      </c>
      <c r="C23" s="9" t="s">
        <v>57</v>
      </c>
    </row>
    <row r="24" customFormat="false" ht="15" hidden="false" customHeight="false" outlineLevel="0" collapsed="false">
      <c r="A24" s="7" t="s">
        <v>58</v>
      </c>
      <c r="B24" s="26" t="n">
        <f aca="false">B23/(1+$B$11)^10</f>
        <v>39.5342952484831</v>
      </c>
    </row>
    <row r="25" customFormat="false" ht="15" hidden="false" customHeight="false" outlineLevel="0" collapsed="false">
      <c r="A25" s="11" t="s">
        <v>22</v>
      </c>
      <c r="B25" s="17" t="n">
        <f aca="false">B22+B24</f>
        <v>69.3694684951907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1" min="2" style="0" width="11"/>
    <col collapsed="false" customWidth="true" hidden="false" outlineLevel="0" max="12" min="12" style="0" width="40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25.5" hidden="false" customHeight="tru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4" t="s">
        <v>60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6" customFormat="false" ht="19.5" hidden="false" customHeight="true" outlineLevel="0" collapsed="false">
      <c r="A6" s="5" t="s">
        <v>29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customFormat="false" ht="15" hidden="false" customHeight="false" outlineLevel="0" collapsed="false">
      <c r="A7" s="7" t="s">
        <v>30</v>
      </c>
      <c r="B7" s="18" t="n">
        <v>3.58</v>
      </c>
      <c r="C7" s="9" t="s">
        <v>31</v>
      </c>
    </row>
    <row r="8" customFormat="false" ht="15" hidden="false" customHeight="false" outlineLevel="0" collapsed="false">
      <c r="A8" s="7" t="s">
        <v>32</v>
      </c>
      <c r="B8" s="16" t="n">
        <v>0.09</v>
      </c>
      <c r="C8" s="9" t="s">
        <v>33</v>
      </c>
    </row>
    <row r="9" customFormat="false" ht="15" hidden="false" customHeight="false" outlineLevel="0" collapsed="false">
      <c r="A9" s="7" t="s">
        <v>34</v>
      </c>
      <c r="B9" s="16" t="n">
        <v>0.04</v>
      </c>
      <c r="C9" s="9" t="s">
        <v>35</v>
      </c>
    </row>
    <row r="10" customFormat="false" ht="15" hidden="false" customHeight="false" outlineLevel="0" collapsed="false">
      <c r="A10" s="7" t="s">
        <v>36</v>
      </c>
      <c r="B10" s="8" t="n">
        <v>-0.005</v>
      </c>
    </row>
    <row r="11" customFormat="false" ht="15" hidden="false" customHeight="false" outlineLevel="0" collapsed="false">
      <c r="A11" s="7" t="s">
        <v>10</v>
      </c>
      <c r="B11" s="23" t="n">
        <f aca="false">Summary!$B$10+B10</f>
        <v>0.078</v>
      </c>
    </row>
    <row r="13" customFormat="false" ht="19.5" hidden="false" customHeight="true" outlineLevel="0" collapsed="false">
      <c r="A13" s="5" t="s">
        <v>37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</row>
    <row r="14" customFormat="false" ht="30" hidden="false" customHeight="true" outlineLevel="0" collapsed="false">
      <c r="A14" s="13" t="s">
        <v>38</v>
      </c>
      <c r="B14" s="14" t="s">
        <v>39</v>
      </c>
      <c r="C14" s="14" t="s">
        <v>40</v>
      </c>
      <c r="D14" s="14" t="s">
        <v>41</v>
      </c>
      <c r="E14" s="14" t="s">
        <v>42</v>
      </c>
      <c r="F14" s="14" t="s">
        <v>43</v>
      </c>
      <c r="G14" s="14" t="s">
        <v>44</v>
      </c>
      <c r="H14" s="14" t="s">
        <v>45</v>
      </c>
      <c r="I14" s="14" t="s">
        <v>46</v>
      </c>
      <c r="J14" s="14" t="s">
        <v>47</v>
      </c>
      <c r="K14" s="14" t="s">
        <v>48</v>
      </c>
    </row>
    <row r="15" customFormat="false" ht="15" hidden="false" customHeight="false" outlineLevel="0" collapsed="false">
      <c r="A15" s="7" t="s">
        <v>49</v>
      </c>
      <c r="B15" s="24" t="n">
        <v>1</v>
      </c>
      <c r="C15" s="24" t="n">
        <v>2</v>
      </c>
      <c r="D15" s="24" t="n">
        <v>3</v>
      </c>
      <c r="E15" s="24" t="n">
        <v>4</v>
      </c>
      <c r="F15" s="24" t="n">
        <v>5</v>
      </c>
      <c r="G15" s="24" t="n">
        <v>6</v>
      </c>
      <c r="H15" s="24" t="n">
        <v>7</v>
      </c>
      <c r="I15" s="24" t="n">
        <v>8</v>
      </c>
      <c r="J15" s="24" t="n">
        <v>9</v>
      </c>
      <c r="K15" s="24" t="n">
        <v>10</v>
      </c>
    </row>
    <row r="16" customFormat="false" ht="15" hidden="false" customHeight="false" outlineLevel="0" collapsed="false">
      <c r="A16" s="7" t="s">
        <v>50</v>
      </c>
      <c r="B16" s="19" t="n">
        <f aca="false">$B$8</f>
        <v>0.09</v>
      </c>
      <c r="C16" s="19" t="n">
        <f aca="false">$B$8</f>
        <v>0.09</v>
      </c>
      <c r="D16" s="19" t="n">
        <f aca="false">$B$8</f>
        <v>0.09</v>
      </c>
      <c r="E16" s="19" t="n">
        <f aca="false">$B$8</f>
        <v>0.09</v>
      </c>
      <c r="F16" s="19" t="n">
        <f aca="false">$B$8</f>
        <v>0.09</v>
      </c>
      <c r="G16" s="19" t="n">
        <f aca="false">$B$8+($B$9-$B$8)*(G15-5)/5</f>
        <v>0.08</v>
      </c>
      <c r="H16" s="19" t="n">
        <f aca="false">$B$8+($B$9-$B$8)*(H15-5)/5</f>
        <v>0.07</v>
      </c>
      <c r="I16" s="19" t="n">
        <f aca="false">$B$8+($B$9-$B$8)*(I15-5)/5</f>
        <v>0.06</v>
      </c>
      <c r="J16" s="19" t="n">
        <f aca="false">$B$8+($B$9-$B$8)*(J15-5)/5</f>
        <v>0.05</v>
      </c>
      <c r="K16" s="19" t="n">
        <f aca="false">$B$8+($B$9-$B$8)*(K15-5)/5</f>
        <v>0.04</v>
      </c>
    </row>
    <row r="17" customFormat="false" ht="15" hidden="false" customHeight="false" outlineLevel="0" collapsed="false">
      <c r="A17" s="11" t="s">
        <v>51</v>
      </c>
      <c r="B17" s="17" t="n">
        <f aca="false">$B$7*(1+B16)</f>
        <v>3.9022</v>
      </c>
      <c r="C17" s="17" t="n">
        <f aca="false">B17*(1+C16)</f>
        <v>4.253398</v>
      </c>
      <c r="D17" s="17" t="n">
        <f aca="false">C17*(1+D16)</f>
        <v>4.63620382</v>
      </c>
      <c r="E17" s="17" t="n">
        <f aca="false">D17*(1+E16)</f>
        <v>5.0534621638</v>
      </c>
      <c r="F17" s="17" t="n">
        <f aca="false">E17*(1+F16)</f>
        <v>5.508273758542</v>
      </c>
      <c r="G17" s="17" t="n">
        <f aca="false">F17*(1+G16)</f>
        <v>5.94893565922536</v>
      </c>
      <c r="H17" s="17" t="n">
        <f aca="false">G17*(1+H16)</f>
        <v>6.36536115537114</v>
      </c>
      <c r="I17" s="17" t="n">
        <f aca="false">H17*(1+I16)</f>
        <v>6.74728282469341</v>
      </c>
      <c r="J17" s="17" t="n">
        <f aca="false">I17*(1+J16)</f>
        <v>7.08464696592808</v>
      </c>
      <c r="K17" s="17" t="n">
        <f aca="false">J17*(1+K16)</f>
        <v>7.3680328445652</v>
      </c>
    </row>
    <row r="18" customFormat="false" ht="15" hidden="false" customHeight="false" outlineLevel="0" collapsed="false">
      <c r="A18" s="7" t="s">
        <v>52</v>
      </c>
      <c r="B18" s="25" t="n">
        <f aca="false">1/(1+$B$11)^B15</f>
        <v>0.927643784786642</v>
      </c>
      <c r="C18" s="25" t="n">
        <f aca="false">1/(1+$B$11)^C15</f>
        <v>0.860522991453286</v>
      </c>
      <c r="D18" s="25" t="n">
        <f aca="false">1/(1+$B$11)^D15</f>
        <v>0.798258804687649</v>
      </c>
      <c r="E18" s="25" t="n">
        <f aca="false">1/(1+$B$11)^E15</f>
        <v>0.740499818819711</v>
      </c>
      <c r="F18" s="25" t="n">
        <f aca="false">1/(1+$B$11)^F15</f>
        <v>0.68692005456374</v>
      </c>
      <c r="G18" s="25" t="n">
        <f aca="false">1/(1+$B$11)^G15</f>
        <v>0.637217119261354</v>
      </c>
      <c r="H18" s="25" t="n">
        <f aca="false">1/(1+$B$11)^H15</f>
        <v>0.591110500242443</v>
      </c>
      <c r="I18" s="25" t="n">
        <f aca="false">1/(1+$B$11)^I15</f>
        <v>0.548339981672025</v>
      </c>
      <c r="J18" s="25" t="n">
        <f aca="false">1/(1+$B$11)^J15</f>
        <v>0.508664175948075</v>
      </c>
      <c r="K18" s="25" t="n">
        <f aca="false">1/(1+$B$11)^K15</f>
        <v>0.471859161361851</v>
      </c>
    </row>
    <row r="19" customFormat="false" ht="15" hidden="false" customHeight="false" outlineLevel="0" collapsed="false">
      <c r="A19" s="7" t="s">
        <v>53</v>
      </c>
      <c r="B19" s="26" t="n">
        <f aca="false">B17*B18</f>
        <v>3.61985157699443</v>
      </c>
      <c r="C19" s="26" t="n">
        <f aca="false">C17*C18</f>
        <v>3.66014677080142</v>
      </c>
      <c r="D19" s="26" t="n">
        <f aca="false">D17*D18</f>
        <v>3.70089051964151</v>
      </c>
      <c r="E19" s="26" t="n">
        <f aca="false">E17*E18</f>
        <v>3.74208781670617</v>
      </c>
      <c r="F19" s="26" t="n">
        <f aca="false">F17*F18</f>
        <v>3.78374371076969</v>
      </c>
      <c r="G19" s="26" t="n">
        <f aca="false">G17*G18</f>
        <v>3.79076364344273</v>
      </c>
      <c r="H19" s="26" t="n">
        <f aca="false">H17*H18</f>
        <v>3.76263181677525</v>
      </c>
      <c r="I19" s="26" t="n">
        <f aca="false">I17*I18</f>
        <v>3.69980494042835</v>
      </c>
      <c r="J19" s="26" t="n">
        <f aca="false">J17*J18</f>
        <v>3.60370611080684</v>
      </c>
      <c r="K19" s="26" t="n">
        <f aca="false">K17*K18</f>
        <v>3.47667379892311</v>
      </c>
    </row>
    <row r="21" customFormat="false" ht="19.5" hidden="false" customHeight="true" outlineLevel="0" collapsed="false">
      <c r="A21" s="5" t="s">
        <v>54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</row>
    <row r="22" customFormat="false" ht="15" hidden="false" customHeight="false" outlineLevel="0" collapsed="false">
      <c r="A22" s="7" t="s">
        <v>55</v>
      </c>
      <c r="B22" s="26" t="n">
        <f aca="false">SUM(B19:K19)</f>
        <v>36.8403007052895</v>
      </c>
    </row>
    <row r="23" customFormat="false" ht="15" hidden="false" customHeight="false" outlineLevel="0" collapsed="false">
      <c r="A23" s="7" t="s">
        <v>56</v>
      </c>
      <c r="B23" s="26" t="n">
        <f aca="false">K17*(1+$B$9)/($B$11-$B$9)</f>
        <v>201.651425219679</v>
      </c>
      <c r="C23" s="9" t="s">
        <v>57</v>
      </c>
    </row>
    <row r="24" customFormat="false" ht="15" hidden="false" customHeight="false" outlineLevel="0" collapsed="false">
      <c r="A24" s="7" t="s">
        <v>58</v>
      </c>
      <c r="B24" s="26" t="n">
        <f aca="false">B23/(1+$B$11)^10</f>
        <v>95.1510723915799</v>
      </c>
    </row>
    <row r="25" customFormat="false" ht="15" hidden="false" customHeight="false" outlineLevel="0" collapsed="false">
      <c r="A25" s="11" t="s">
        <v>22</v>
      </c>
      <c r="B25" s="17" t="n">
        <f aca="false">B22+B24</f>
        <v>131.991373096869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2026-10-22T21:03:45Z</dcterms:created>
  <dc:creator>LDB Finance</dc:creator>
  <dc:description/>
  <dc:language>en-US</dc:language>
  <cp:lastModifiedBy/>
  <dcterms:modified xsi:type="dcterms:W3CDTF">2026-10-22T21:03:45Z</dcterms:modified>
  <cp:revision>0</cp:revision>
  <dc:subject/>
  <dc:title>American Water Works (AWK)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