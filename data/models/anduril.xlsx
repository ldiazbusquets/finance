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<sst xmlns="http://schemas.openxmlformats.org/spreadsheetml/2006/main" count="44" uniqueCount="35">
  <si>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</si>
  <si>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Anduril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</si>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</sst>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3.87617435893366</v>
      </c>
      <c r="C8" s="10" t="n">
        <f aca="false">Model!C21</f>
        <v>20.3499153844017</v>
      </c>
      <c r="D8" s="10" t="n">
        <f aca="false">Model!D21</f>
        <v>67.1547207685257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27.9326814740657</v>
      </c>
    </row>
    <row r="11" customFormat="false" ht="15" hidden="false" customHeight="false" outlineLevel="0" collapsed="false">
      <c r="A11" s="9" t="s">
        <v>10</v>
      </c>
      <c r="C11" s="14" t="n">
        <v>90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-0.689636872510381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0.11</v>
      </c>
      <c r="C16" s="18" t="n">
        <f aca="false">(Model!$C$19/(1+B16)^Model!$C$13+Model!$C$14)</f>
        <v>21.8566937221311</v>
      </c>
    </row>
    <row r="17" customFormat="false" ht="15" hidden="false" customHeight="false" outlineLevel="0" collapsed="false">
      <c r="A17" s="16"/>
      <c r="B17" s="17" t="n">
        <v>0.12</v>
      </c>
      <c r="C17" s="18" t="n">
        <f aca="false">(Model!$C$19/(1+B17)^Model!$C$13+Model!$C$14)</f>
        <v>21.0864898414723</v>
      </c>
    </row>
    <row r="18" customFormat="false" ht="15" hidden="false" customHeight="false" outlineLevel="0" collapsed="false">
      <c r="A18" s="16"/>
      <c r="B18" s="17" t="n">
        <v>0.13</v>
      </c>
      <c r="C18" s="18" t="n">
        <f aca="false">(Model!$C$19/(1+B18)^Model!$C$13+Model!$C$14)</f>
        <v>20.3499153844017</v>
      </c>
    </row>
    <row r="19" customFormat="false" ht="15" hidden="false" customHeight="false" outlineLevel="0" collapsed="false">
      <c r="A19" s="16"/>
      <c r="B19" s="17" t="n">
        <v>0.14</v>
      </c>
      <c r="C19" s="18" t="n">
        <f aca="false">(Model!$C$19/(1+B19)^Model!$C$13+Model!$C$14)</f>
        <v>19.6452236031429</v>
      </c>
    </row>
    <row r="20" customFormat="false" ht="15" hidden="false" customHeight="false" outlineLevel="0" collapsed="false">
      <c r="A20" s="16"/>
      <c r="B20" s="17" t="n">
        <v>0.15</v>
      </c>
      <c r="C20" s="18" t="n">
        <f aca="false">(Model!$C$19/(1+B20)^Model!$C$13+Model!$C$14)</f>
        <v>18.9707726887768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8</v>
      </c>
      <c r="C8" s="14" t="n">
        <v>14</v>
      </c>
      <c r="D8" s="14" t="n">
        <v>22</v>
      </c>
    </row>
    <row r="9" customFormat="false" ht="15" hidden="false" customHeight="false" outlineLevel="0" collapsed="false">
      <c r="A9" s="9" t="s">
        <v>24</v>
      </c>
      <c r="B9" s="11" t="n">
        <v>0.05</v>
      </c>
      <c r="C9" s="11" t="n">
        <v>0.12</v>
      </c>
      <c r="D9" s="11" t="n">
        <v>0.18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35</v>
      </c>
    </row>
    <row r="12" customFormat="false" ht="15" hidden="false" customHeight="false" outlineLevel="0" collapsed="false">
      <c r="A12" s="9" t="s">
        <v>14</v>
      </c>
      <c r="B12" s="11" t="n">
        <v>0.13</v>
      </c>
      <c r="C12" s="11" t="n">
        <v>0.13</v>
      </c>
      <c r="D12" s="11" t="n">
        <v>0.13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0.316</v>
      </c>
      <c r="C18" s="22" t="n">
        <f aca="false">C8*C9*(1-C10)</f>
        <v>1.3272</v>
      </c>
      <c r="D18" s="22" t="n">
        <f aca="false">D8*D9*(1-D10)</f>
        <v>3.1284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6.32</v>
      </c>
      <c r="C19" s="22" t="n">
        <f aca="false">C18*C11</f>
        <v>33.18</v>
      </c>
      <c r="D19" s="22" t="n">
        <f aca="false">D18*D11</f>
        <v>109.494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3.87617435893366</v>
      </c>
      <c r="C20" s="22" t="n">
        <f aca="false">C19/(1+C12)^C13</f>
        <v>20.3499153844017</v>
      </c>
      <c r="D20" s="22" t="n">
        <f aca="false">D19/(1+D12)^D13</f>
        <v>67.1547207685257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3.87617435893366</v>
      </c>
      <c r="C21" s="13" t="n">
        <f aca="false">C20+C14</f>
        <v>20.3499153844017</v>
      </c>
      <c r="D21" s="13" t="n">
        <f aca="false">D20+D14</f>
        <v>67.1547207685257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Anduril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