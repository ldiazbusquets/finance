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Model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<sst xmlns="http://schemas.openxmlformats.org/spreadsheetml/2006/main" count="44" uniqueCount="35">
  <si>
    <t xml:space="preserve">LDB FINANCE</t>
  </si>
  <si>
    <t xml:space="preserve">Anthropic (private)</t>
  </si>
  <si>
    <t xml:space="preserve">Scenario model: 2030 earning power, capitalised and discounted back four years  ·  Inputs in blue can be changed; everything else recalculates.</t>
  </si>
  <si>
    <t xml:space="preserve">SCENARIOS</t>
  </si>
  <si>
    <t xml:space="preserve">Bear</t>
  </si>
  <si>
    <t xml:space="preserve">Base</t>
  </si>
  <si>
    <t xml:space="preserve">Bull</t>
  </si>
  <si>
    <t xml:space="preserve">Value ($B, whole company)</t>
  </si>
  <si>
    <t xml:space="preserve">Probability</t>
  </si>
  <si>
    <t xml:space="preserve">Probability-weighted value ($B, whole company)</t>
  </si>
  <si>
    <t xml:space="preserve">Price at writing ($B, latest valuation)</t>
  </si>
  <si>
    <t xml:space="preserve">Weighted value against the price</t>
  </si>
  <si>
    <t xml:space="preserve">SENSITIVITY</t>
  </si>
  <si>
    <t xml:space="preserve">Base case, repriced at</t>
  </si>
  <si>
    <t xml:space="preserve">Discount rate</t>
  </si>
  <si>
    <t xml:space="preserve">Value ($B)</t>
  </si>
  <si>
    <t xml:space="preserve">Each row reprices the base case at that discount rate.</t>
  </si>
  <si>
    <t xml:space="preserve">ABOUT THIS WORKBOOK</t>
  </si>
  <si>
    <t xml:space="preserve">Blue cells are inputs; black cells are formulas; green cells link to another sheet. Change any blue cell and the whole model recalculates.</t>
  </si>
  <si>
    <t xml:space="preserve">Built from the model script https://github.com/ldiazbusquets/finance/blob/main/_source/models/new_coverage.py, and checked against it each time the file is made.</t>
  </si>
  <si>
    <t xml:space="preserve">For education only. Not investment advice.</t>
  </si>
  <si>
    <t xml:space="preserve">Bear, base and bull in one table, $ billions</t>
  </si>
  <si>
    <t xml:space="preserve">INPUTS</t>
  </si>
  <si>
    <t xml:space="preserve">Revenue in 2030 ($B)</t>
  </si>
  <si>
    <t xml:space="preserve">Operating margin in 2030</t>
  </si>
  <si>
    <t xml:space="preserve">Tax rate</t>
  </si>
  <si>
    <t xml:space="preserve">U.S. federal rate</t>
  </si>
  <si>
    <t xml:space="preserve">Exit multiple of after-tax operating profit</t>
  </si>
  <si>
    <t xml:space="preserve">Years discounted</t>
  </si>
  <si>
    <t xml:space="preserve">Net cash ($B)</t>
  </si>
  <si>
    <t xml:space="preserve">VALUE</t>
  </si>
  <si>
    <t xml:space="preserve">After-tax operating profit, 2030 ($B)</t>
  </si>
  <si>
    <t xml:space="preserve">Value in 2030 ($B)</t>
  </si>
  <si>
    <t xml:space="preserve">Value today ($B)</t>
  </si>
  <si>
    <t xml:space="preserve">Plus net cash: equity value ($B)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</si>
</sst>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0;\(#,##0.00\);\-"/>
    <numFmt numFmtId="166" formatCode="0.0%;\(0.0%\);\-"/>
    <numFmt numFmtId="167" formatCode="0.00%;\(0.00%\);\-"/>
    <numFmt numFmtId="168" formatCode="0.0\x"/>
    <numFmt numFmtId="169" formatCode="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C58B5C"/>
      <name val="Arial"/>
      <family val="0"/>
      <charset val="1"/>
    </font>
    <font>
      <b val="true"/>
      <sz val="16"/>
      <color rgb="FFF4EDE4"/>
      <name val="Arial"/>
      <family val="0"/>
      <charset val="1"/>
    </font>
    <font>
      <sz val="9"/>
      <color rgb="FFA8998A"/>
      <name val="Arial"/>
      <family val="0"/>
      <charset val="1"/>
    </font>
    <font>
      <b val="true"/>
      <sz val="9"/>
      <color rgb="FFF4EDE4"/>
      <name val="Arial"/>
      <family val="0"/>
      <charset val="1"/>
    </font>
    <font>
      <sz val="10"/>
      <name val="Arial"/>
      <family val="0"/>
      <charset val="1"/>
    </font>
    <font>
      <sz val="10"/>
      <color rgb="FF008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9"/>
      <color rgb="FF7A6E62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0C0A08"/>
        <bgColor rgb="FF000000"/>
      </patternFill>
    </fill>
    <fill>
      <patternFill patternType="solid">
        <fgColor rgb="FF1B1511"/>
        <bgColor rgb="FF0C0A08"/>
      </patternFill>
    </fill>
    <fill>
      <patternFill patternType="solid">
        <fgColor rgb="FF2A211A"/>
        <bgColor rgb="FF1B1511"/>
      </patternFill>
    </fill>
    <fill>
      <patternFill patternType="solid">
        <fgColor rgb="FFFFF8E7"/>
        <bgColor rgb="FFF4EDE4"/>
      </patternFill>
    </fill>
    <fill>
      <patternFill patternType="solid">
        <fgColor rgb="FFF3E3D3"/>
        <bgColor rgb="FFE6DDD2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E6DDD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7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0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0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6" fontId="13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0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3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8E7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A6E62"/>
      <rgbColor rgb="FF9999FF"/>
      <rgbColor rgb="FF993366"/>
      <rgbColor rgb="FFF4EDE4"/>
      <rgbColor rgb="FFCCFFFF"/>
      <rgbColor rgb="FF660066"/>
      <rgbColor rgb="FFC58B5C"/>
      <rgbColor rgb="FF0066CC"/>
      <rgbColor rgb="FFE6DDD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3E3D3"/>
      <rgbColor rgb="FF3366FF"/>
      <rgbColor rgb="FF33CCCC"/>
      <rgbColor rgb="FF99CC00"/>
      <rgbColor rgb="FFFFCC00"/>
      <rgbColor rgb="FFFF9900"/>
      <rgbColor rgb="FFFF6600"/>
      <rgbColor rgb="FF666699"/>
      <rgbColor rgb="FFA8998A"/>
      <rgbColor rgb="FF003366"/>
      <rgbColor rgb="FF339966"/>
      <rgbColor rgb="FF0C0A08"/>
      <rgbColor rgb="FF1B1511"/>
      <rgbColor rgb="FF993300"/>
      <rgbColor rgb="FF993366"/>
      <rgbColor rgb="FF333399"/>
      <rgbColor rgb="FF2A21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4" min="2" style="0" width="15"/>
    <col collapsed="false" customWidth="true" hidden="false" outlineLevel="0" max="5" min="5" style="0" width="58"/>
  </cols>
  <sheetData>
    <row r="1" customFormat="false" ht="15" hidden="false" customHeight="false" outlineLevel="0" collapsed="false">
      <c r="A1" s="1" t="s">
        <v>0</v>
      </c>
      <c r="B1" s="2"/>
      <c r="C1" s="2"/>
      <c r="D1" s="2"/>
      <c r="E1" s="2"/>
    </row>
    <row r="2" customFormat="false" ht="25.5" hidden="false" customHeight="true" outlineLevel="0" collapsed="false">
      <c r="A2" s="3" t="s">
        <v>1</v>
      </c>
      <c r="B2" s="2"/>
      <c r="C2" s="2"/>
      <c r="D2" s="2"/>
      <c r="E2" s="2"/>
    </row>
    <row r="3" customFormat="false" ht="15" hidden="false" customHeight="false" outlineLevel="0" collapsed="false">
      <c r="A3" s="4" t="s">
        <v>2</v>
      </c>
      <c r="B3" s="2"/>
      <c r="C3" s="2"/>
      <c r="D3" s="2"/>
      <c r="E3" s="2"/>
    </row>
    <row r="4" customFormat="false" ht="15" hidden="false" customHeight="false" outlineLevel="0" collapsed="false">
      <c r="A4" s="2"/>
      <c r="B4" s="2"/>
      <c r="C4" s="2"/>
      <c r="D4" s="2"/>
      <c r="E4" s="2"/>
    </row>
    <row r="6" customFormat="false" ht="19.5" hidden="false" customHeight="true" outlineLevel="0" collapsed="false">
      <c r="A6" s="5" t="s">
        <v>3</v>
      </c>
      <c r="B6" s="6"/>
      <c r="C6" s="6"/>
      <c r="D6" s="6"/>
      <c r="E6" s="6"/>
    </row>
    <row r="7" customFormat="false" ht="30" hidden="false" customHeight="true" outlineLevel="0" collapsed="false">
      <c r="A7" s="7"/>
      <c r="B7" s="8" t="s">
        <v>4</v>
      </c>
      <c r="C7" s="8" t="s">
        <v>5</v>
      </c>
      <c r="D7" s="8" t="s">
        <v>6</v>
      </c>
    </row>
    <row r="8" customFormat="false" ht="15" hidden="false" customHeight="false" outlineLevel="0" collapsed="false">
      <c r="A8" s="9" t="s">
        <v>7</v>
      </c>
      <c r="B8" s="10" t="n">
        <f aca="false">Model!B21</f>
        <v>162.606623046659</v>
      </c>
      <c r="C8" s="10" t="n">
        <f aca="false">Model!C21</f>
        <v>846.909495034681</v>
      </c>
      <c r="D8" s="10" t="n">
        <f aca="false">Model!D21</f>
        <v>2032.58278808323</v>
      </c>
    </row>
    <row r="9" customFormat="false" ht="15" hidden="false" customHeight="false" outlineLevel="0" collapsed="false">
      <c r="A9" s="9" t="s">
        <v>8</v>
      </c>
      <c r="B9" s="11" t="n">
        <v>0.25</v>
      </c>
      <c r="C9" s="11" t="n">
        <v>0.5</v>
      </c>
      <c r="D9" s="11" t="n">
        <v>0.25</v>
      </c>
    </row>
    <row r="10" customFormat="false" ht="15" hidden="false" customHeight="false" outlineLevel="0" collapsed="false">
      <c r="A10" s="12" t="s">
        <v>9</v>
      </c>
      <c r="C10" s="13" t="n">
        <f aca="false">SUMPRODUCT(B8:D8,B9:D9)</f>
        <v>972.252100299814</v>
      </c>
    </row>
    <row r="11" customFormat="false" ht="15" hidden="false" customHeight="false" outlineLevel="0" collapsed="false">
      <c r="A11" s="9" t="s">
        <v>10</v>
      </c>
      <c r="C11" s="14" t="n">
        <v>965</v>
      </c>
    </row>
    <row r="12" customFormat="false" ht="15" hidden="false" customHeight="false" outlineLevel="0" collapsed="false">
      <c r="A12" s="9" t="s">
        <v>11</v>
      </c>
      <c r="C12" s="15" t="n">
        <f aca="false">C10/C11-1</f>
        <v>0.00751512984436631</v>
      </c>
    </row>
    <row r="14" customFormat="false" ht="19.5" hidden="false" customHeight="true" outlineLevel="0" collapsed="false">
      <c r="A14" s="5" t="s">
        <v>12</v>
      </c>
      <c r="B14" s="6"/>
      <c r="C14" s="6"/>
      <c r="D14" s="6"/>
      <c r="E14" s="6"/>
    </row>
    <row r="15" customFormat="false" ht="30" hidden="false" customHeight="true" outlineLevel="0" collapsed="false">
      <c r="A15" s="7" t="s">
        <v>13</v>
      </c>
      <c r="B15" s="8" t="s">
        <v>14</v>
      </c>
      <c r="C15" s="8" t="s">
        <v>15</v>
      </c>
    </row>
    <row r="16" customFormat="false" ht="15" hidden="false" customHeight="false" outlineLevel="0" collapsed="false">
      <c r="A16" s="16"/>
      <c r="B16" s="17" t="n">
        <v>0.13</v>
      </c>
      <c r="C16" s="18" t="n">
        <f aca="false">(Model!$C$19/(1+B16)^Model!$C$13+Model!$C$14)</f>
        <v>908.478365375077</v>
      </c>
    </row>
    <row r="17" customFormat="false" ht="15" hidden="false" customHeight="false" outlineLevel="0" collapsed="false">
      <c r="A17" s="16"/>
      <c r="B17" s="17" t="n">
        <v>0.14</v>
      </c>
      <c r="C17" s="18" t="n">
        <f aca="false">(Model!$C$19/(1+B17)^Model!$C$13+Model!$C$14)</f>
        <v>877.018910854593</v>
      </c>
    </row>
    <row r="18" customFormat="false" ht="15" hidden="false" customHeight="false" outlineLevel="0" collapsed="false">
      <c r="A18" s="16"/>
      <c r="B18" s="17" t="n">
        <v>0.15</v>
      </c>
      <c r="C18" s="18" t="n">
        <f aca="false">(Model!$C$19/(1+B18)^Model!$C$13+Model!$C$14)</f>
        <v>846.909495034681</v>
      </c>
    </row>
    <row r="19" customFormat="false" ht="15" hidden="false" customHeight="false" outlineLevel="0" collapsed="false">
      <c r="A19" s="16"/>
      <c r="B19" s="17" t="n">
        <v>0.16</v>
      </c>
      <c r="C19" s="18" t="n">
        <f aca="false">(Model!$C$19/(1+B19)^Model!$C$13+Model!$C$14)</f>
        <v>818.081188735453</v>
      </c>
    </row>
    <row r="20" customFormat="false" ht="15" hidden="false" customHeight="false" outlineLevel="0" collapsed="false">
      <c r="A20" s="16"/>
      <c r="B20" s="17" t="n">
        <v>0.17</v>
      </c>
      <c r="C20" s="18" t="n">
        <f aca="false">(Model!$C$19/(1+B20)^Model!$C$13+Model!$C$14)</f>
        <v>790.469133945367</v>
      </c>
    </row>
    <row r="21" customFormat="false" ht="15" hidden="false" customHeight="false" outlineLevel="0" collapsed="false">
      <c r="A21" s="19" t="s">
        <v>16</v>
      </c>
    </row>
    <row r="23" customFormat="false" ht="19.5" hidden="false" customHeight="true" outlineLevel="0" collapsed="false">
      <c r="A23" s="5" t="s">
        <v>17</v>
      </c>
      <c r="B23" s="6"/>
      <c r="C23" s="6"/>
      <c r="D23" s="6"/>
      <c r="E23" s="6"/>
    </row>
    <row r="24" customFormat="false" ht="15" hidden="false" customHeight="false" outlineLevel="0" collapsed="false">
      <c r="A24" s="19" t="s">
        <v>18</v>
      </c>
    </row>
    <row r="25" customFormat="false" ht="15" hidden="false" customHeight="false" outlineLevel="0" collapsed="false">
      <c r="A25" s="19" t="s">
        <v>19</v>
      </c>
    </row>
    <row r="26" customFormat="false" ht="15" hidden="false" customHeight="false" outlineLevel="0" collapsed="false">
      <c r="A26" s="19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  <col collapsed="false" customWidth="true" hidden="false" outlineLevel="0" max="4" min="2" style="0" width="14"/>
    <col collapsed="false" customWidth="true" hidden="false" outlineLevel="0" max="5" min="5" style="0" width="52"/>
  </cols>
  <sheetData>
    <row r="1" customFormat="false" ht="15" hidden="false" customHeight="false" outlineLevel="0" collapsed="false">
      <c r="A1" s="1" t="s">
        <v>0</v>
      </c>
      <c r="B1" s="2"/>
      <c r="C1" s="2"/>
      <c r="D1" s="2"/>
      <c r="E1" s="2"/>
    </row>
    <row r="2" customFormat="false" ht="25.5" hidden="false" customHeight="true" outlineLevel="0" collapsed="false">
      <c r="A2" s="3" t="s">
        <v>1</v>
      </c>
      <c r="B2" s="2"/>
      <c r="C2" s="2"/>
      <c r="D2" s="2"/>
      <c r="E2" s="2"/>
    </row>
    <row r="3" customFormat="false" ht="15" hidden="false" customHeight="false" outlineLevel="0" collapsed="false">
      <c r="A3" s="4" t="s">
        <v>21</v>
      </c>
      <c r="B3" s="2"/>
      <c r="C3" s="2"/>
      <c r="D3" s="2"/>
      <c r="E3" s="2"/>
    </row>
    <row r="4" customFormat="false" ht="15" hidden="false" customHeight="false" outlineLevel="0" collapsed="false">
      <c r="A4" s="2"/>
      <c r="B4" s="2"/>
      <c r="C4" s="2"/>
      <c r="D4" s="2"/>
      <c r="E4" s="2"/>
    </row>
    <row r="6" customFormat="false" ht="19.5" hidden="false" customHeight="true" outlineLevel="0" collapsed="false">
      <c r="A6" s="5" t="s">
        <v>22</v>
      </c>
      <c r="B6" s="6"/>
      <c r="C6" s="6"/>
      <c r="D6" s="6"/>
      <c r="E6" s="6"/>
    </row>
    <row r="7" customFormat="false" ht="30" hidden="false" customHeight="true" outlineLevel="0" collapsed="false">
      <c r="A7" s="7"/>
      <c r="B7" s="8" t="s">
        <v>4</v>
      </c>
      <c r="C7" s="8" t="s">
        <v>5</v>
      </c>
      <c r="D7" s="8" t="s">
        <v>6</v>
      </c>
    </row>
    <row r="8" customFormat="false" ht="15" hidden="false" customHeight="false" outlineLevel="0" collapsed="false">
      <c r="A8" s="9" t="s">
        <v>23</v>
      </c>
      <c r="B8" s="14" t="n">
        <v>120</v>
      </c>
      <c r="C8" s="14" t="n">
        <v>250</v>
      </c>
      <c r="D8" s="14" t="n">
        <v>450</v>
      </c>
    </row>
    <row r="9" customFormat="false" ht="15" hidden="false" customHeight="false" outlineLevel="0" collapsed="false">
      <c r="A9" s="9" t="s">
        <v>24</v>
      </c>
      <c r="B9" s="11" t="n">
        <v>0.15</v>
      </c>
      <c r="C9" s="11" t="n">
        <v>0.3</v>
      </c>
      <c r="D9" s="11" t="n">
        <v>0.4</v>
      </c>
    </row>
    <row r="10" customFormat="false" ht="15" hidden="false" customHeight="false" outlineLevel="0" collapsed="false">
      <c r="A10" s="9" t="s">
        <v>25</v>
      </c>
      <c r="B10" s="11" t="n">
        <v>0.21</v>
      </c>
      <c r="C10" s="11" t="n">
        <v>0.21</v>
      </c>
      <c r="D10" s="11" t="n">
        <v>0.21</v>
      </c>
      <c r="E10" s="19" t="s">
        <v>26</v>
      </c>
    </row>
    <row r="11" customFormat="false" ht="15" hidden="false" customHeight="false" outlineLevel="0" collapsed="false">
      <c r="A11" s="9" t="s">
        <v>27</v>
      </c>
      <c r="B11" s="20" t="n">
        <v>20</v>
      </c>
      <c r="C11" s="20" t="n">
        <v>25</v>
      </c>
      <c r="D11" s="20" t="n">
        <v>25</v>
      </c>
    </row>
    <row r="12" customFormat="false" ht="15" hidden="false" customHeight="false" outlineLevel="0" collapsed="false">
      <c r="A12" s="9" t="s">
        <v>14</v>
      </c>
      <c r="B12" s="11" t="n">
        <v>0.15</v>
      </c>
      <c r="C12" s="11" t="n">
        <v>0.15</v>
      </c>
      <c r="D12" s="11" t="n">
        <v>0.15</v>
      </c>
    </row>
    <row r="13" customFormat="false" ht="15" hidden="false" customHeight="false" outlineLevel="0" collapsed="false">
      <c r="A13" s="9" t="s">
        <v>28</v>
      </c>
      <c r="B13" s="21" t="n">
        <v>4</v>
      </c>
      <c r="C13" s="21" t="n">
        <v>4</v>
      </c>
      <c r="D13" s="21" t="n">
        <v>4</v>
      </c>
    </row>
    <row r="14" customFormat="false" ht="15" hidden="false" customHeight="false" outlineLevel="0" collapsed="false">
      <c r="A14" s="9" t="s">
        <v>29</v>
      </c>
      <c r="B14" s="14" t="n">
        <v>0</v>
      </c>
      <c r="C14" s="14" t="n">
        <v>0</v>
      </c>
      <c r="D14" s="14" t="n">
        <v>0</v>
      </c>
    </row>
    <row r="16" customFormat="false" ht="19.5" hidden="false" customHeight="true" outlineLevel="0" collapsed="false">
      <c r="A16" s="5" t="s">
        <v>30</v>
      </c>
      <c r="B16" s="6"/>
      <c r="C16" s="6"/>
      <c r="D16" s="6"/>
      <c r="E16" s="6"/>
    </row>
    <row r="17" customFormat="false" ht="30" hidden="false" customHeight="true" outlineLevel="0" collapsed="false">
      <c r="A17" s="7"/>
      <c r="B17" s="8" t="s">
        <v>4</v>
      </c>
      <c r="C17" s="8" t="s">
        <v>5</v>
      </c>
      <c r="D17" s="8" t="s">
        <v>6</v>
      </c>
    </row>
    <row r="18" customFormat="false" ht="15" hidden="false" customHeight="false" outlineLevel="0" collapsed="false">
      <c r="A18" s="9" t="s">
        <v>31</v>
      </c>
      <c r="B18" s="22" t="n">
        <f aca="false">B8*B9*(1-B10)</f>
        <v>14.22</v>
      </c>
      <c r="C18" s="22" t="n">
        <f aca="false">C8*C9*(1-C10)</f>
        <v>59.25</v>
      </c>
      <c r="D18" s="22" t="n">
        <f aca="false">D8*D9*(1-D10)</f>
        <v>142.2</v>
      </c>
    </row>
    <row r="19" customFormat="false" ht="15" hidden="false" customHeight="false" outlineLevel="0" collapsed="false">
      <c r="A19" s="9" t="s">
        <v>32</v>
      </c>
      <c r="B19" s="22" t="n">
        <f aca="false">B18*B11</f>
        <v>284.4</v>
      </c>
      <c r="C19" s="22" t="n">
        <f aca="false">C18*C11</f>
        <v>1481.25</v>
      </c>
      <c r="D19" s="22" t="n">
        <f aca="false">D18*D11</f>
        <v>3555</v>
      </c>
    </row>
    <row r="20" customFormat="false" ht="15" hidden="false" customHeight="false" outlineLevel="0" collapsed="false">
      <c r="A20" s="9" t="s">
        <v>33</v>
      </c>
      <c r="B20" s="22" t="n">
        <f aca="false">B19/(1+B12)^B13</f>
        <v>162.606623046659</v>
      </c>
      <c r="C20" s="22" t="n">
        <f aca="false">C19/(1+C12)^C13</f>
        <v>846.909495034681</v>
      </c>
      <c r="D20" s="22" t="n">
        <f aca="false">D19/(1+D12)^D13</f>
        <v>2032.58278808323</v>
      </c>
    </row>
    <row r="21" customFormat="false" ht="15" hidden="false" customHeight="false" outlineLevel="0" collapsed="false">
      <c r="A21" s="12" t="s">
        <v>34</v>
      </c>
      <c r="B21" s="13" t="n">
        <f aca="false">B20+B14</f>
        <v>162.606623046659</v>
      </c>
      <c r="C21" s="13" t="n">
        <f aca="false">C20+C14</f>
        <v>846.909495034681</v>
      </c>
      <c r="D21" s="13" t="n">
        <f aca="false">D20+D14</f>
        <v>2032.58278808323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2026-10-22T14:09:29Z</dcterms:created>
  <dc:creator>LDB Finance</dc:creator>
  <dc:description/>
  <dc:language>en-US</dc:language>
  <cp:lastModifiedBy/>
  <dcterms:modified xsi:type="dcterms:W3CDTF">2026-10-22T14:09:30Z</dcterms:modified>
  <cp:revision>0</cp:revision>
  <dc:subject/>
  <dc:title>Anthropic (private)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