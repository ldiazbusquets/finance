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<sst xmlns="http://schemas.openxmlformats.org/spreadsheetml/2006/main" count="44" uniqueCount="35">
  <si>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</si>
  <si>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Anthropic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</si>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</sst>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162.606623046659</v>
      </c>
      <c r="C8" s="10" t="n">
        <f aca="false">Model!C21</f>
        <v>846.909495034681</v>
      </c>
      <c r="D8" s="10" t="n">
        <f aca="false">Model!D21</f>
        <v>2032.58278808323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972.252100299814</v>
      </c>
    </row>
    <row r="11" customFormat="false" ht="15" hidden="false" customHeight="false" outlineLevel="0" collapsed="false">
      <c r="A11" s="9" t="s">
        <v>10</v>
      </c>
      <c r="C11" s="14" t="n">
        <v>965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0.00751512984436631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908.478365375077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877.018910854593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846.909495034681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818.081188735453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790.469133945367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120</v>
      </c>
      <c r="C8" s="14" t="n">
        <v>250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0.3</v>
      </c>
      <c r="D9" s="11" t="n">
        <v>0.4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14.22</v>
      </c>
      <c r="C18" s="22" t="n">
        <f aca="false">C8*C9*(1-C10)</f>
        <v>59.25</v>
      </c>
      <c r="D18" s="22" t="n">
        <f aca="false">D8*D9*(1-D10)</f>
        <v>142.2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284.4</v>
      </c>
      <c r="C19" s="22" t="n">
        <f aca="false">C18*C11</f>
        <v>1481.25</v>
      </c>
      <c r="D19" s="22" t="n">
        <f aca="false">D18*D11</f>
        <v>3555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162.606623046659</v>
      </c>
      <c r="C20" s="22" t="n">
        <f aca="false">C19/(1+C12)^C13</f>
        <v>846.909495034681</v>
      </c>
      <c r="D20" s="22" t="n">
        <f aca="false">D19/(1+D12)^D13</f>
        <v>2032.58278808323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162.606623046659</v>
      </c>
      <c r="C21" s="13" t="n">
        <f aca="false">C20+C14</f>
        <v>846.909495034681</v>
      </c>
      <c r="D21" s="13" t="n">
        <f aca="false">D20+D14</f>
        <v>2032.58278808323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Anthropic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