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ase" sheetId="2" state="visible" r:id="rId4"/>
    <sheet name="Bear" sheetId="3" state="visible" r:id="rId5"/>
    <sheet name="Bul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<sst xmlns="http://schemas.openxmlformats.org/spreadsheetml/2006/main" count="203" uniqueCount="85">
  <si>
    <t xml:space="preserve">LDB FINANCE</t>
  </si>
  <si>
    <t xml:space="preserve">ASML Holding (ASML), US$ at 1.123 per euro</t>
  </si>
  <si>
    <t xml:space="preserve">Ten-year discounted cash flow (free cash flow to the firm)  ·  Inputs in blue can be changed; everything else recalculates.</t>
  </si>
  <si>
    <t xml:space="preserve">COST OF EQUITY (CAPM)</t>
  </si>
  <si>
    <t xml:space="preserve">Risk-free rate (10-year Treasury)</t>
  </si>
  <si>
    <t xml:space="preserve">FRED, October 2026</t>
  </si>
  <si>
    <t xml:space="preserve">Equity risk premium</t>
  </si>
  <si>
    <t xml:space="preserve">Long-run U.S. premium</t>
  </si>
  <si>
    <t xml:space="preserve">Beta</t>
  </si>
  <si>
    <t xml:space="preserve">Measured against the S&amp;P 500</t>
  </si>
  <si>
    <t xml:space="preserve">Cost of equity</t>
  </si>
  <si>
    <t xml:space="preserve">SCENARIOS</t>
  </si>
  <si>
    <t xml:space="preserve">Bear</t>
  </si>
  <si>
    <t xml:space="preserve">Base</t>
  </si>
  <si>
    <t xml:space="preserve">Bull</t>
  </si>
  <si>
    <t xml:space="preserve">Value ($ per share)</t>
  </si>
  <si>
    <t xml:space="preserve">Probability</t>
  </si>
  <si>
    <t xml:space="preserve">Probability-weighted value ($ per share)</t>
  </si>
  <si>
    <t xml:space="preserve">Price at writing ($)</t>
  </si>
  <si>
    <t xml:space="preserve">Weighted value against the price</t>
  </si>
  <si>
    <t xml:space="preserve">SENSITIVITY</t>
  </si>
  <si>
    <t xml:space="preserve">Base case, repriced at</t>
  </si>
  <si>
    <t xml:space="preserve">Discount rate</t>
  </si>
  <si>
    <t xml:space="preserve">Value per share ($)</t>
  </si>
  <si>
    <t xml:space="preserve">Each row reprices the base case at that discount rate; the cash flows themselves do not change.</t>
  </si>
  <si>
    <t xml:space="preserve">ABOUT THIS WORKBOOK</t>
  </si>
  <si>
    <t xml:space="preserve">Blue cells are inputs; black cells are formulas; green cells link to another sheet. Change any blue cell and the whole model recalculates.</t>
  </si>
  <si>
    <t xml:space="preserve">Built from the model script https://github.com/ldiazbusquets/finance/blob/main/_source/models/asml.py, and checked against it each time the file is made.</t>
  </si>
  <si>
    <t xml:space="preserve">For education only. Not investment advice.</t>
  </si>
  <si>
    <t xml:space="preserve">Base case: ten-year free cash flow to the firm, values in $ billions</t>
  </si>
  <si>
    <t xml:space="preserve">INPUTS</t>
  </si>
  <si>
    <t xml:space="preserve">Base revenue ($B)</t>
  </si>
  <si>
    <t xml:space="preserve">2026 guidance midpoint, EUR 44.5B = $50.0B</t>
  </si>
  <si>
    <t xml:space="preserve">Revenue growth, year 1</t>
  </si>
  <si>
    <t xml:space="preserve">Revenue growth, year 2</t>
  </si>
  <si>
    <t xml:space="preserve">Then fades in a straight line to terminal growth by year 10</t>
  </si>
  <si>
    <t xml:space="preserve">Terminal growth</t>
  </si>
  <si>
    <t xml:space="preserve">Operating margin, year 1</t>
  </si>
  <si>
    <t xml:space="preserve">Operating margin, target</t>
  </si>
  <si>
    <t xml:space="preserve">Years to reach the target margin</t>
  </si>
  <si>
    <t xml:space="preserve">Tax rate</t>
  </si>
  <si>
    <t xml:space="preserve">Sales to capital (new revenue per $1 invested)</t>
  </si>
  <si>
    <t xml:space="preserve">Reinvestment = revenue growth / sales to capital</t>
  </si>
  <si>
    <t xml:space="preserve">Return on new capital, after year 10</t>
  </si>
  <si>
    <t xml:space="preserve">Sets reinvestment in the terminal value</t>
  </si>
  <si>
    <t xml:space="preserve">Discount rate shift for this case</t>
  </si>
  <si>
    <t xml:space="preserve">Added to the WACC on the Summary sheet</t>
  </si>
  <si>
    <t xml:space="preserve">Net cash ($B, negative = net debt)</t>
  </si>
  <si>
    <t xml:space="preserve">Latest balance sheet</t>
  </si>
  <si>
    <t xml:space="preserve">Diluted shares (billions)</t>
  </si>
  <si>
    <t xml:space="preserve">Latest filing</t>
  </si>
  <si>
    <t xml:space="preserve">PROJECTION</t>
  </si>
  <si>
    <t xml:space="preserve">Year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</si>
  <si>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</si>
  <si>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</si>
  <si>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</si>
  <si>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</si>
  <si>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</si>
  <si>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</si>
  <si>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</si>
  <si>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</si>
  <si>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</si>
  <si>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</si>
  <si>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Year number</t>
  </si>
  <si>
    <t xml:space="preserve">Planned heavy investment ($B)</t>
  </si>
  <si>
    <t xml:space="preserve">Years with a capex plan; blank = use sales to capital</t>
  </si>
  <si>
    <t xml:space="preserve">Revenue growth</t>
  </si>
  <si>
    <t xml:space="preserve">Revenue ($B)</t>
  </si>
  <si>
    <t xml:space="preserve">Operating margin</t>
  </si>
  <si>
    <t xml:space="preserve">Operating income ($B)</t>
  </si>
  <si>
    <t xml:space="preserve">After-tax operating income ($B)</t>
  </si>
  <si>
    <t xml:space="preserve">Reinvestment ($B)</t>
  </si>
  <si>
    <t xml:space="preserve">Free cash flow to the firm ($B)</t>
  </si>
  <si>
    <t xml:space="preserve">Discount factor (mid-year)</t>
  </si>
  <si>
    <t xml:space="preserve">Present value ($B)</t>
  </si>
  <si>
    <t xml:space="preserve">BRIDGE TO VALUE PER SHARE</t>
  </si>
  <si>
    <t xml:space="preserve">Present value of ten years of cash flow ($B)</t>
  </si>
  <si>
    <t xml:space="preserve">Year-11 after-tax operating income ($B)</t>
  </si>
  <si>
    <t xml:space="preserve">Terminal value ($B)</t>
  </si>
  <si>
    <t xml:space="preserve">NOPAT11 x (1 - g / return on new capital) / (discount rate - g)</t>
  </si>
  <si>
    <t xml:space="preserve">Present value of terminal value ($B)</t>
  </si>
  <si>
    <t xml:space="preserve">Enterprise value ($B)</t>
  </si>
  <si>
    <t xml:space="preserve">Equity value ($B)</t>
  </si>
  <si>
    <t xml:space="preserve">Bear case: ten-year free cash flow to the firm, values in $ billions</t>
  </si>
  <si>
    <t xml:space="preserve">Bull case: ten-year free cash flow to the firm, values in $ billions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</si>
</sst>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;\(0.00%\);\-"/>
    <numFmt numFmtId="166" formatCode="0.000"/>
    <numFmt numFmtId="167" formatCode="\$#,##0.00;&quot;($&quot;#,##0.00\);\-"/>
    <numFmt numFmtId="168" formatCode="0.0%;\(0.0%\);\-"/>
    <numFmt numFmtId="169" formatCode="#,##0.0;\(#,##0.0\);\-"/>
    <numFmt numFmtId="170" formatCode="0"/>
    <numFmt numFmtId="171" formatCode="0.0"/>
    <numFmt numFmtId="172" formatCode="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C58B5C"/>
      <name val="Arial"/>
      <family val="0"/>
      <charset val="1"/>
    </font>
    <font>
      <b val="true"/>
      <sz val="16"/>
      <color rgb="FFF4EDE4"/>
      <name val="Arial"/>
      <family val="0"/>
      <charset val="1"/>
    </font>
    <font>
      <sz val="9"/>
      <color rgb="FFA8998A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A6E6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4EDE4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C0A08"/>
        <bgColor rgb="FF000000"/>
      </patternFill>
    </fill>
    <fill>
      <patternFill patternType="solid">
        <fgColor rgb="FF1B1511"/>
        <bgColor rgb="FF0C0A08"/>
      </patternFill>
    </fill>
    <fill>
      <patternFill patternType="solid">
        <fgColor rgb="FFFFF8E7"/>
        <bgColor rgb="FFF4EDE4"/>
      </patternFill>
    </fill>
    <fill>
      <patternFill patternType="solid">
        <fgColor rgb="FFF3E3D3"/>
        <bgColor rgb="FFE6DDD2"/>
      </patternFill>
    </fill>
    <fill>
      <patternFill patternType="solid">
        <fgColor rgb="FF2A211A"/>
        <bgColor rgb="FF1B1511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6DD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8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E62"/>
      <rgbColor rgb="FF9999FF"/>
      <rgbColor rgb="FF993366"/>
      <rgbColor rgb="FFF4EDE4"/>
      <rgbColor rgb="FFCCFFFF"/>
      <rgbColor rgb="FF660066"/>
      <rgbColor rgb="FFC58B5C"/>
      <rgbColor rgb="FF0066CC"/>
      <rgbColor rgb="FFE6D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E3D3"/>
      <rgbColor rgb="FF3366FF"/>
      <rgbColor rgb="FF33CCCC"/>
      <rgbColor rgb="FF99CC00"/>
      <rgbColor rgb="FFFFCC00"/>
      <rgbColor rgb="FFFF9900"/>
      <rgbColor rgb="FFFF6600"/>
      <rgbColor rgb="FF666699"/>
      <rgbColor rgb="FFA8998A"/>
      <rgbColor rgb="FF003366"/>
      <rgbColor rgb="FF339966"/>
      <rgbColor rgb="FF0C0A08"/>
      <rgbColor rgb="FF1B1511"/>
      <rgbColor rgb="FF993300"/>
      <rgbColor rgb="FF993366"/>
      <rgbColor rgb="FF333399"/>
      <rgbColor rgb="FF2A21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5"/>
    <col collapsed="false" customWidth="true" hidden="false" outlineLevel="0" max="5" min="5" style="0" width="58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3</v>
      </c>
      <c r="B6" s="6"/>
      <c r="C6" s="6"/>
      <c r="D6" s="6"/>
      <c r="E6" s="6"/>
    </row>
    <row r="7" customFormat="false" ht="15" hidden="false" customHeight="false" outlineLevel="0" collapsed="false">
      <c r="A7" s="7" t="s">
        <v>4</v>
      </c>
      <c r="B7" s="8" t="n">
        <v>0.0515</v>
      </c>
      <c r="E7" s="9" t="s">
        <v>5</v>
      </c>
    </row>
    <row r="8" customFormat="false" ht="15" hidden="false" customHeight="false" outlineLevel="0" collapsed="false">
      <c r="A8" s="7" t="s">
        <v>6</v>
      </c>
      <c r="B8" s="8" t="n">
        <v>0.045</v>
      </c>
      <c r="E8" s="9" t="s">
        <v>7</v>
      </c>
    </row>
    <row r="9" customFormat="false" ht="15" hidden="false" customHeight="false" outlineLevel="0" collapsed="false">
      <c r="A9" s="7" t="s">
        <v>8</v>
      </c>
      <c r="B9" s="10" t="n">
        <v>1.3</v>
      </c>
      <c r="E9" s="9" t="s">
        <v>9</v>
      </c>
    </row>
    <row r="10" customFormat="false" ht="15" hidden="false" customHeight="false" outlineLevel="0" collapsed="false">
      <c r="A10" s="11" t="s">
        <v>10</v>
      </c>
      <c r="B10" s="12" t="n">
        <f aca="false">B7+B9*B8</f>
        <v>0.11</v>
      </c>
    </row>
    <row r="12" customFormat="false" ht="19.5" hidden="false" customHeight="true" outlineLevel="0" collapsed="false">
      <c r="A12" s="5" t="s">
        <v>11</v>
      </c>
      <c r="B12" s="6"/>
      <c r="C12" s="6"/>
      <c r="D12" s="6"/>
      <c r="E12" s="6"/>
    </row>
    <row r="13" customFormat="false" ht="30" hidden="false" customHeight="true" outlineLevel="0" collapsed="false">
      <c r="A13" s="13"/>
      <c r="B13" s="14" t="s">
        <v>12</v>
      </c>
      <c r="C13" s="14" t="s">
        <v>13</v>
      </c>
      <c r="D13" s="14" t="s">
        <v>14</v>
      </c>
    </row>
    <row r="14" customFormat="false" ht="15" hidden="false" customHeight="false" outlineLevel="0" collapsed="false">
      <c r="A14" s="7" t="s">
        <v>15</v>
      </c>
      <c r="B14" s="15" t="n">
        <f aca="false">Bear!$B$43</f>
        <v>523.775668166062</v>
      </c>
      <c r="C14" s="15" t="n">
        <f aca="false">Base!$B$43</f>
        <v>1080.97731536098</v>
      </c>
      <c r="D14" s="15" t="n">
        <f aca="false">Bull!$B$43</f>
        <v>1652.70877757679</v>
      </c>
    </row>
    <row r="15" customFormat="false" ht="15" hidden="false" customHeight="false" outlineLevel="0" collapsed="false">
      <c r="A15" s="7" t="s">
        <v>16</v>
      </c>
      <c r="B15" s="16" t="n">
        <v>0.25</v>
      </c>
      <c r="C15" s="16" t="n">
        <v>0.5</v>
      </c>
      <c r="D15" s="16" t="n">
        <v>0.25</v>
      </c>
    </row>
    <row r="16" customFormat="false" ht="15" hidden="false" customHeight="false" outlineLevel="0" collapsed="false">
      <c r="A16" s="11" t="s">
        <v>17</v>
      </c>
      <c r="C16" s="17" t="n">
        <f aca="false">SUMPRODUCT(B14:D14,B15:D15)</f>
        <v>1084.60976911621</v>
      </c>
    </row>
    <row r="17" customFormat="false" ht="15" hidden="false" customHeight="false" outlineLevel="0" collapsed="false">
      <c r="A17" s="7" t="s">
        <v>18</v>
      </c>
      <c r="C17" s="18" t="n">
        <v>1560.54</v>
      </c>
    </row>
    <row r="18" customFormat="false" ht="15" hidden="false" customHeight="false" outlineLevel="0" collapsed="false">
      <c r="A18" s="7" t="s">
        <v>19</v>
      </c>
      <c r="C18" s="19" t="n">
        <f aca="false">C16/C17-1</f>
        <v>-0.304977912058515</v>
      </c>
    </row>
    <row r="20" customFormat="false" ht="19.5" hidden="false" customHeight="true" outlineLevel="0" collapsed="false">
      <c r="A20" s="5" t="s">
        <v>20</v>
      </c>
      <c r="B20" s="6"/>
      <c r="C20" s="6"/>
      <c r="D20" s="6"/>
      <c r="E20" s="6"/>
    </row>
    <row r="21" customFormat="false" ht="30" hidden="false" customHeight="true" outlineLevel="0" collapsed="false">
      <c r="A21" s="13" t="s">
        <v>21</v>
      </c>
      <c r="B21" s="14" t="s">
        <v>22</v>
      </c>
      <c r="C21" s="14" t="s">
        <v>23</v>
      </c>
    </row>
    <row r="22" customFormat="false" ht="15" hidden="false" customHeight="false" outlineLevel="0" collapsed="false">
      <c r="A22" s="20"/>
      <c r="B22" s="21" t="n">
        <v>0.095</v>
      </c>
      <c r="C22" s="22" t="n">
        <f aca="false">(SUMPRODUCT(Base!$B$32:$K$32,1/(1+B22)^(Base!$B$24:$K$24-0.5))+Base!$K$29*(1+Base!$B$10)*(1-Base!$B$14)*(1-Base!$B$10/Base!$B$16)/(B22-Base!$B$10)/(1+B22)^9.5+Base!$B$19)/Base!$B$20</f>
        <v>1335.88647145481</v>
      </c>
    </row>
    <row r="23" customFormat="false" ht="15" hidden="false" customHeight="false" outlineLevel="0" collapsed="false">
      <c r="A23" s="20"/>
      <c r="B23" s="21" t="n">
        <v>0.1</v>
      </c>
      <c r="C23" s="22" t="n">
        <f aca="false">(SUMPRODUCT(Base!$B$32:$K$32,1/(1+B23)^(Base!$B$24:$K$24-0.5))+Base!$K$29*(1+Base!$B$10)*(1-Base!$B$14)*(1-Base!$B$10/Base!$B$16)/(B23-Base!$B$10)/(1+B23)^9.5+Base!$B$19)/Base!$B$20</f>
        <v>1238.70282238984</v>
      </c>
    </row>
    <row r="24" customFormat="false" ht="15" hidden="false" customHeight="false" outlineLevel="0" collapsed="false">
      <c r="A24" s="20"/>
      <c r="B24" s="21" t="n">
        <v>0.105</v>
      </c>
      <c r="C24" s="22" t="n">
        <f aca="false">(SUMPRODUCT(Base!$B$32:$K$32,1/(1+B24)^(Base!$B$24:$K$24-0.5))+Base!$K$29*(1+Base!$B$10)*(1-Base!$B$14)*(1-Base!$B$10/Base!$B$16)/(B24-Base!$B$10)/(1+B24)^9.5+Base!$B$19)/Base!$B$20</f>
        <v>1154.54753517425</v>
      </c>
    </row>
    <row r="25" customFormat="false" ht="15" hidden="false" customHeight="false" outlineLevel="0" collapsed="false">
      <c r="A25" s="20"/>
      <c r="B25" s="21" t="n">
        <v>0.11</v>
      </c>
      <c r="C25" s="22" t="n">
        <f aca="false">(SUMPRODUCT(Base!$B$32:$K$32,1/(1+B25)^(Base!$B$24:$K$24-0.5))+Base!$K$29*(1+Base!$B$10)*(1-Base!$B$14)*(1-Base!$B$10/Base!$B$16)/(B25-Base!$B$10)/(1+B25)^9.5+Base!$B$19)/Base!$B$20</f>
        <v>1080.97731536098</v>
      </c>
    </row>
    <row r="26" customFormat="false" ht="15" hidden="false" customHeight="false" outlineLevel="0" collapsed="false">
      <c r="A26" s="20"/>
      <c r="B26" s="21" t="n">
        <v>0.115</v>
      </c>
      <c r="C26" s="22" t="n">
        <f aca="false">(SUMPRODUCT(Base!$B$32:$K$32,1/(1+B26)^(Base!$B$24:$K$24-0.5))+Base!$K$29*(1+Base!$B$10)*(1-Base!$B$14)*(1-Base!$B$10/Base!$B$16)/(B26-Base!$B$10)/(1+B26)^9.5+Base!$B$19)/Base!$B$20</f>
        <v>1016.12370513971</v>
      </c>
    </row>
    <row r="27" customFormat="false" ht="15" hidden="false" customHeight="false" outlineLevel="0" collapsed="false">
      <c r="A27" s="9" t="s">
        <v>24</v>
      </c>
    </row>
    <row r="29" customFormat="false" ht="19.5" hidden="false" customHeight="true" outlineLevel="0" collapsed="false">
      <c r="A29" s="5" t="s">
        <v>25</v>
      </c>
      <c r="B29" s="6"/>
      <c r="C29" s="6"/>
      <c r="D29" s="6"/>
      <c r="E29" s="6"/>
    </row>
    <row r="30" customFormat="false" ht="15" hidden="false" customHeight="false" outlineLevel="0" collapsed="false">
      <c r="A30" s="9" t="s">
        <v>26</v>
      </c>
    </row>
    <row r="31" customFormat="false" ht="15" hidden="false" customHeight="false" outlineLevel="0" collapsed="false">
      <c r="A31" s="9" t="s">
        <v>27</v>
      </c>
    </row>
    <row r="32" customFormat="false" ht="15" hidden="false" customHeight="false" outlineLevel="0" collapsed="false">
      <c r="A32" s="9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29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30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31</v>
      </c>
      <c r="B7" s="23" t="n">
        <v>49.9735</v>
      </c>
      <c r="C7" s="9" t="s">
        <v>32</v>
      </c>
    </row>
    <row r="8" customFormat="false" ht="15" hidden="false" customHeight="false" outlineLevel="0" collapsed="false">
      <c r="A8" s="7" t="s">
        <v>33</v>
      </c>
      <c r="B8" s="16" t="n">
        <v>0.22</v>
      </c>
    </row>
    <row r="9" customFormat="false" ht="15" hidden="false" customHeight="false" outlineLevel="0" collapsed="false">
      <c r="A9" s="7" t="s">
        <v>34</v>
      </c>
      <c r="B9" s="16" t="n">
        <v>0.15</v>
      </c>
      <c r="C9" s="9" t="s">
        <v>35</v>
      </c>
    </row>
    <row r="10" customFormat="false" ht="15" hidden="false" customHeight="false" outlineLevel="0" collapsed="false">
      <c r="A10" s="7" t="s">
        <v>36</v>
      </c>
      <c r="B10" s="16" t="n">
        <v>0.03</v>
      </c>
    </row>
    <row r="11" customFormat="false" ht="15" hidden="false" customHeight="false" outlineLevel="0" collapsed="false">
      <c r="A11" s="7" t="s">
        <v>37</v>
      </c>
      <c r="B11" s="16" t="n">
        <v>0.415</v>
      </c>
    </row>
    <row r="12" customFormat="false" ht="15" hidden="false" customHeight="false" outlineLevel="0" collapsed="false">
      <c r="A12" s="7" t="s">
        <v>38</v>
      </c>
      <c r="B12" s="16" t="n">
        <v>0.44</v>
      </c>
    </row>
    <row r="13" customFormat="false" ht="15" hidden="false" customHeight="false" outlineLevel="0" collapsed="false">
      <c r="A13" s="7" t="s">
        <v>39</v>
      </c>
      <c r="B13" s="24" t="n">
        <v>3</v>
      </c>
    </row>
    <row r="14" customFormat="false" ht="15" hidden="false" customHeight="false" outlineLevel="0" collapsed="false">
      <c r="A14" s="7" t="s">
        <v>40</v>
      </c>
      <c r="B14" s="16" t="n">
        <v>0.16</v>
      </c>
    </row>
    <row r="15" customFormat="false" ht="15" hidden="false" customHeight="false" outlineLevel="0" collapsed="false">
      <c r="A15" s="7" t="s">
        <v>41</v>
      </c>
      <c r="B15" s="25" t="n">
        <v>3</v>
      </c>
      <c r="C15" s="9" t="s">
        <v>42</v>
      </c>
    </row>
    <row r="16" customFormat="false" ht="15" hidden="false" customHeight="false" outlineLevel="0" collapsed="false">
      <c r="A16" s="7" t="s">
        <v>43</v>
      </c>
      <c r="B16" s="16" t="n">
        <v>0.3</v>
      </c>
      <c r="C16" s="9" t="s">
        <v>44</v>
      </c>
    </row>
    <row r="17" customFormat="false" ht="15" hidden="false" customHeight="false" outlineLevel="0" collapsed="false">
      <c r="A17" s="7" t="s">
        <v>45</v>
      </c>
      <c r="B17" s="8" t="n">
        <v>0</v>
      </c>
      <c r="C17" s="9" t="s">
        <v>46</v>
      </c>
    </row>
    <row r="18" customFormat="false" ht="15" hidden="false" customHeight="false" outlineLevel="0" collapsed="false">
      <c r="A18" s="7" t="s">
        <v>22</v>
      </c>
      <c r="B18" s="26" t="n">
        <f aca="false">Summary!$B$10+B17</f>
        <v>0.11</v>
      </c>
    </row>
    <row r="19" customFormat="false" ht="15" hidden="false" customHeight="false" outlineLevel="0" collapsed="false">
      <c r="A19" s="7" t="s">
        <v>47</v>
      </c>
      <c r="B19" s="23" t="n">
        <v>10.107</v>
      </c>
      <c r="C19" s="9" t="s">
        <v>48</v>
      </c>
    </row>
    <row r="20" customFormat="false" ht="15" hidden="false" customHeight="false" outlineLevel="0" collapsed="false">
      <c r="A20" s="7" t="s">
        <v>49</v>
      </c>
      <c r="B20" s="27" t="n">
        <v>0.3831</v>
      </c>
      <c r="C20" s="9" t="s">
        <v>50</v>
      </c>
    </row>
    <row r="22" customFormat="false" ht="19.5" hidden="false" customHeight="true" outlineLevel="0" collapsed="false">
      <c r="A22" s="5" t="s">
        <v>51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30" hidden="false" customHeight="true" outlineLevel="0" collapsed="false">
      <c r="A23" s="13" t="s">
        <v>52</v>
      </c>
      <c r="B23" s="14" t="s">
        <v>53</v>
      </c>
      <c r="C23" s="14" t="s">
        <v>54</v>
      </c>
      <c r="D23" s="14" t="s">
        <v>55</v>
      </c>
      <c r="E23" s="14" t="s">
        <v>56</v>
      </c>
      <c r="F23" s="14" t="s">
        <v>57</v>
      </c>
      <c r="G23" s="14" t="s">
        <v>58</v>
      </c>
      <c r="H23" s="14" t="s">
        <v>59</v>
      </c>
      <c r="I23" s="14" t="s">
        <v>60</v>
      </c>
      <c r="J23" s="14" t="s">
        <v>61</v>
      </c>
      <c r="K23" s="14" t="s">
        <v>62</v>
      </c>
    </row>
    <row r="24" customFormat="false" ht="15" hidden="false" customHeight="false" outlineLevel="0" collapsed="false">
      <c r="A24" s="7" t="s">
        <v>63</v>
      </c>
      <c r="B24" s="28" t="n">
        <v>1</v>
      </c>
      <c r="C24" s="28" t="n">
        <v>2</v>
      </c>
      <c r="D24" s="28" t="n">
        <v>3</v>
      </c>
      <c r="E24" s="28" t="n">
        <v>4</v>
      </c>
      <c r="F24" s="28" t="n">
        <v>5</v>
      </c>
      <c r="G24" s="28" t="n">
        <v>6</v>
      </c>
      <c r="H24" s="28" t="n">
        <v>7</v>
      </c>
      <c r="I24" s="28" t="n">
        <v>8</v>
      </c>
      <c r="J24" s="28" t="n">
        <v>9</v>
      </c>
      <c r="K24" s="28" t="n">
        <v>10</v>
      </c>
    </row>
    <row r="25" customFormat="false" ht="15" hidden="false" customHeight="false" outlineLevel="0" collapsed="false">
      <c r="A25" s="7" t="s">
        <v>64</v>
      </c>
      <c r="L25" s="9" t="s">
        <v>65</v>
      </c>
    </row>
    <row r="26" customFormat="false" ht="15" hidden="false" customHeight="false" outlineLevel="0" collapsed="false">
      <c r="A26" s="7" t="s">
        <v>66</v>
      </c>
      <c r="B26" s="19" t="n">
        <f aca="false">$B$8</f>
        <v>0.22</v>
      </c>
      <c r="C26" s="19" t="n">
        <f aca="false">$B$9</f>
        <v>0.15</v>
      </c>
      <c r="D26" s="19" t="n">
        <f aca="false">$B$9+($B$10-$B$9)*(D24-2)/8</f>
        <v>0.135</v>
      </c>
      <c r="E26" s="19" t="n">
        <f aca="false">$B$9+($B$10-$B$9)*(E24-2)/8</f>
        <v>0.12</v>
      </c>
      <c r="F26" s="19" t="n">
        <f aca="false">$B$9+($B$10-$B$9)*(F24-2)/8</f>
        <v>0.105</v>
      </c>
      <c r="G26" s="19" t="n">
        <f aca="false">$B$9+($B$10-$B$9)*(G24-2)/8</f>
        <v>0.09</v>
      </c>
      <c r="H26" s="19" t="n">
        <f aca="false">$B$9+($B$10-$B$9)*(H24-2)/8</f>
        <v>0.075</v>
      </c>
      <c r="I26" s="19" t="n">
        <f aca="false">$B$9+($B$10-$B$9)*(I24-2)/8</f>
        <v>0.06</v>
      </c>
      <c r="J26" s="19" t="n">
        <f aca="false">$B$9+($B$10-$B$9)*(J24-2)/8</f>
        <v>0.045</v>
      </c>
      <c r="K26" s="19" t="n">
        <f aca="false">$B$9+($B$10-$B$9)*(K24-2)/8</f>
        <v>0.03</v>
      </c>
    </row>
    <row r="27" customFormat="false" ht="15" hidden="false" customHeight="false" outlineLevel="0" collapsed="false">
      <c r="A27" s="7" t="s">
        <v>67</v>
      </c>
      <c r="B27" s="29" t="n">
        <f aca="false">$B$7*(1+B26)</f>
        <v>60.96767</v>
      </c>
      <c r="C27" s="29" t="n">
        <f aca="false">B27*(1+C26)</f>
        <v>70.1128205</v>
      </c>
      <c r="D27" s="29" t="n">
        <f aca="false">C27*(1+D26)</f>
        <v>79.5780512675</v>
      </c>
      <c r="E27" s="29" t="n">
        <f aca="false">D27*(1+E26)</f>
        <v>89.1274174196</v>
      </c>
      <c r="F27" s="29" t="n">
        <f aca="false">E27*(1+F26)</f>
        <v>98.485796248658</v>
      </c>
      <c r="G27" s="29" t="n">
        <f aca="false">F27*(1+G26)</f>
        <v>107.349517911037</v>
      </c>
      <c r="H27" s="29" t="n">
        <f aca="false">G27*(1+H26)</f>
        <v>115.400731754365</v>
      </c>
      <c r="I27" s="29" t="n">
        <f aca="false">H27*(1+I26)</f>
        <v>122.324775659627</v>
      </c>
      <c r="J27" s="29" t="n">
        <f aca="false">I27*(1+J26)</f>
        <v>127.82939056431</v>
      </c>
      <c r="K27" s="29" t="n">
        <f aca="false">J27*(1+K26)</f>
        <v>131.664272281239</v>
      </c>
    </row>
    <row r="28" customFormat="false" ht="15" hidden="false" customHeight="false" outlineLevel="0" collapsed="false">
      <c r="A28" s="7" t="s">
        <v>68</v>
      </c>
      <c r="B28" s="19" t="n">
        <f aca="false">$B$11+($B$12-$B$11)*MIN(1,B24/$B$13)</f>
        <v>0.423333333333333</v>
      </c>
      <c r="C28" s="19" t="n">
        <f aca="false">$B$11+($B$12-$B$11)*MIN(1,C24/$B$13)</f>
        <v>0.431666666666667</v>
      </c>
      <c r="D28" s="19" t="n">
        <f aca="false">$B$11+($B$12-$B$11)*MIN(1,D24/$B$13)</f>
        <v>0.44</v>
      </c>
      <c r="E28" s="19" t="n">
        <f aca="false">$B$11+($B$12-$B$11)*MIN(1,E24/$B$13)</f>
        <v>0.44</v>
      </c>
      <c r="F28" s="19" t="n">
        <f aca="false">$B$11+($B$12-$B$11)*MIN(1,F24/$B$13)</f>
        <v>0.44</v>
      </c>
      <c r="G28" s="19" t="n">
        <f aca="false">$B$11+($B$12-$B$11)*MIN(1,G24/$B$13)</f>
        <v>0.44</v>
      </c>
      <c r="H28" s="19" t="n">
        <f aca="false">$B$11+($B$12-$B$11)*MIN(1,H24/$B$13)</f>
        <v>0.44</v>
      </c>
      <c r="I28" s="19" t="n">
        <f aca="false">$B$11+($B$12-$B$11)*MIN(1,I24/$B$13)</f>
        <v>0.44</v>
      </c>
      <c r="J28" s="19" t="n">
        <f aca="false">$B$11+($B$12-$B$11)*MIN(1,J24/$B$13)</f>
        <v>0.44</v>
      </c>
      <c r="K28" s="19" t="n">
        <f aca="false">$B$11+($B$12-$B$11)*MIN(1,K24/$B$13)</f>
        <v>0.44</v>
      </c>
    </row>
    <row r="29" customFormat="false" ht="15" hidden="false" customHeight="false" outlineLevel="0" collapsed="false">
      <c r="A29" s="7" t="s">
        <v>69</v>
      </c>
      <c r="B29" s="29" t="n">
        <f aca="false">B27*B28</f>
        <v>25.8096469666667</v>
      </c>
      <c r="C29" s="29" t="n">
        <f aca="false">C27*C28</f>
        <v>30.2653675158333</v>
      </c>
      <c r="D29" s="29" t="n">
        <f aca="false">D27*D28</f>
        <v>35.0143425577</v>
      </c>
      <c r="E29" s="29" t="n">
        <f aca="false">E27*E28</f>
        <v>39.216063664624</v>
      </c>
      <c r="F29" s="29" t="n">
        <f aca="false">F27*F28</f>
        <v>43.3337503494095</v>
      </c>
      <c r="G29" s="29" t="n">
        <f aca="false">G27*G28</f>
        <v>47.2337878808564</v>
      </c>
      <c r="H29" s="29" t="n">
        <f aca="false">H27*H28</f>
        <v>50.7763219719206</v>
      </c>
      <c r="I29" s="29" t="n">
        <f aca="false">I27*I28</f>
        <v>53.8229012902359</v>
      </c>
      <c r="J29" s="29" t="n">
        <f aca="false">J27*J28</f>
        <v>56.2449318482965</v>
      </c>
      <c r="K29" s="29" t="n">
        <f aca="false">K27*K28</f>
        <v>57.9322798037454</v>
      </c>
    </row>
    <row r="30" customFormat="false" ht="15" hidden="false" customHeight="false" outlineLevel="0" collapsed="false">
      <c r="A30" s="7" t="s">
        <v>70</v>
      </c>
      <c r="B30" s="29" t="n">
        <f aca="false">B29*(1-$B$14)</f>
        <v>21.680103452</v>
      </c>
      <c r="C30" s="29" t="n">
        <f aca="false">C29*(1-$B$14)</f>
        <v>25.4229087133</v>
      </c>
      <c r="D30" s="29" t="n">
        <f aca="false">D29*(1-$B$14)</f>
        <v>29.412047748468</v>
      </c>
      <c r="E30" s="29" t="n">
        <f aca="false">E29*(1-$B$14)</f>
        <v>32.9414934782842</v>
      </c>
      <c r="F30" s="29" t="n">
        <f aca="false">F29*(1-$B$14)</f>
        <v>36.400350293504</v>
      </c>
      <c r="G30" s="29" t="n">
        <f aca="false">G29*(1-$B$14)</f>
        <v>39.6763818199194</v>
      </c>
      <c r="H30" s="29" t="n">
        <f aca="false">H29*(1-$B$14)</f>
        <v>42.6521104564133</v>
      </c>
      <c r="I30" s="29" t="n">
        <f aca="false">I29*(1-$B$14)</f>
        <v>45.2112370837981</v>
      </c>
      <c r="J30" s="29" t="n">
        <f aca="false">J29*(1-$B$14)</f>
        <v>47.245742752569</v>
      </c>
      <c r="K30" s="29" t="n">
        <f aca="false">K29*(1-$B$14)</f>
        <v>48.6631150351461</v>
      </c>
    </row>
    <row r="31" customFormat="false" ht="15" hidden="false" customHeight="false" outlineLevel="0" collapsed="false">
      <c r="A31" s="7" t="s">
        <v>71</v>
      </c>
      <c r="B31" s="29" t="n">
        <f aca="false">IF(ISNUMBER(B25),B25,(B27-$B$7)/$B$15)</f>
        <v>3.66472333333333</v>
      </c>
      <c r="C31" s="29" t="n">
        <f aca="false">IF(ISNUMBER(C25),C25,(C27-B27)/$B$15)</f>
        <v>3.0483835</v>
      </c>
      <c r="D31" s="29" t="n">
        <f aca="false">IF(ISNUMBER(D25),D25,(D27-C27)/$B$15)</f>
        <v>3.1550769225</v>
      </c>
      <c r="E31" s="29" t="n">
        <f aca="false">IF(ISNUMBER(E25),E25,(E27-D27)/$B$15)</f>
        <v>3.1831220507</v>
      </c>
      <c r="F31" s="29" t="n">
        <f aca="false">IF(ISNUMBER(F25),F25,(F27-E27)/$B$15)</f>
        <v>3.119459609686</v>
      </c>
      <c r="G31" s="29" t="n">
        <f aca="false">IF(ISNUMBER(G25),G25,(G27-F27)/$B$15)</f>
        <v>2.95457388745974</v>
      </c>
      <c r="H31" s="29" t="n">
        <f aca="false">IF(ISNUMBER(H25),H25,(H27-G27)/$B$15)</f>
        <v>2.68373794777593</v>
      </c>
      <c r="I31" s="29" t="n">
        <f aca="false">IF(ISNUMBER(I25),I25,(I27-H27)/$B$15)</f>
        <v>2.3080146350873</v>
      </c>
      <c r="J31" s="29" t="n">
        <f aca="false">IF(ISNUMBER(J25),J25,(J27-I27)/$B$15)</f>
        <v>1.8348716348944</v>
      </c>
      <c r="K31" s="29" t="n">
        <f aca="false">IF(ISNUMBER(K25),K25,(K27-J27)/$B$15)</f>
        <v>1.2782939056431</v>
      </c>
    </row>
    <row r="32" customFormat="false" ht="15" hidden="false" customHeight="false" outlineLevel="0" collapsed="false">
      <c r="A32" s="11" t="s">
        <v>72</v>
      </c>
      <c r="B32" s="30" t="n">
        <f aca="false">B30-B31</f>
        <v>18.0153801186667</v>
      </c>
      <c r="C32" s="30" t="n">
        <f aca="false">C30-C31</f>
        <v>22.3745252133</v>
      </c>
      <c r="D32" s="30" t="n">
        <f aca="false">D30-D31</f>
        <v>26.256970825968</v>
      </c>
      <c r="E32" s="30" t="n">
        <f aca="false">E30-E31</f>
        <v>29.7583714275842</v>
      </c>
      <c r="F32" s="30" t="n">
        <f aca="false">F30-F31</f>
        <v>33.280890683818</v>
      </c>
      <c r="G32" s="30" t="n">
        <f aca="false">G30-G31</f>
        <v>36.7218079324596</v>
      </c>
      <c r="H32" s="30" t="n">
        <f aca="false">H30-H31</f>
        <v>39.9683725086374</v>
      </c>
      <c r="I32" s="30" t="n">
        <f aca="false">I30-I31</f>
        <v>42.9032224487108</v>
      </c>
      <c r="J32" s="30" t="n">
        <f aca="false">J30-J31</f>
        <v>45.4108711176746</v>
      </c>
      <c r="K32" s="30" t="n">
        <f aca="false">K30-K31</f>
        <v>47.384821129503</v>
      </c>
    </row>
    <row r="33" customFormat="false" ht="15" hidden="false" customHeight="false" outlineLevel="0" collapsed="false">
      <c r="A33" s="7" t="s">
        <v>73</v>
      </c>
      <c r="B33" s="31" t="n">
        <f aca="false">1/(1+$B$18)^(B24-0.5)</f>
        <v>0.949157995752499</v>
      </c>
      <c r="C33" s="31" t="n">
        <f aca="false">1/(1+$B$18)^(C24-0.5)</f>
        <v>0.85509729347072</v>
      </c>
      <c r="D33" s="31" t="n">
        <f aca="false">1/(1+$B$18)^(D24-0.5)</f>
        <v>0.770357922045694</v>
      </c>
      <c r="E33" s="31" t="n">
        <f aca="false">1/(1+$B$18)^(E24-0.5)</f>
        <v>0.694016145987112</v>
      </c>
      <c r="F33" s="31" t="n">
        <f aca="false">1/(1+$B$18)^(F24-0.5)</f>
        <v>0.62523977115956</v>
      </c>
      <c r="G33" s="31" t="n">
        <f aca="false">1/(1+$B$18)^(G24-0.5)</f>
        <v>0.563279073116721</v>
      </c>
      <c r="H33" s="31" t="n">
        <f aca="false">1/(1+$B$18)^(H24-0.5)</f>
        <v>0.507458624429478</v>
      </c>
      <c r="I33" s="31" t="n">
        <f aca="false">1/(1+$B$18)^(I24-0.5)</f>
        <v>0.457169931918449</v>
      </c>
      <c r="J33" s="31" t="n">
        <f aca="false">1/(1+$B$18)^(J24-0.5)</f>
        <v>0.411864803530134</v>
      </c>
      <c r="K33" s="31" t="n">
        <f aca="false">1/(1+$B$18)^(K24-0.5)</f>
        <v>0.371049372549671</v>
      </c>
    </row>
    <row r="34" customFormat="false" ht="15" hidden="false" customHeight="false" outlineLevel="0" collapsed="false">
      <c r="A34" s="7" t="s">
        <v>74</v>
      </c>
      <c r="B34" s="29" t="n">
        <f aca="false">B32*B33</f>
        <v>17.0994420861531</v>
      </c>
      <c r="C34" s="29" t="n">
        <f aca="false">C32*C33</f>
        <v>19.1323959525852</v>
      </c>
      <c r="D34" s="29" t="n">
        <f aca="false">D32*D33</f>
        <v>20.2272654847071</v>
      </c>
      <c r="E34" s="29" t="n">
        <f aca="false">E32*E33</f>
        <v>20.6527902490249</v>
      </c>
      <c r="F34" s="29" t="n">
        <f aca="false">F32*F33</f>
        <v>20.8085364751367</v>
      </c>
      <c r="G34" s="29" t="n">
        <f aca="false">G32*G33</f>
        <v>20.6846259353661</v>
      </c>
      <c r="H34" s="29" t="n">
        <f aca="false">H32*H33</f>
        <v>20.2822953339181</v>
      </c>
      <c r="I34" s="29" t="n">
        <f aca="false">I32*I33</f>
        <v>19.6140632859592</v>
      </c>
      <c r="J34" s="29" t="n">
        <f aca="false">J32*J33</f>
        <v>18.7031395110133</v>
      </c>
      <c r="K34" s="29" t="n">
        <f aca="false">K32*K33</f>
        <v>17.5821081484805</v>
      </c>
    </row>
    <row r="36" customFormat="false" ht="19.5" hidden="false" customHeight="true" outlineLevel="0" collapsed="false">
      <c r="A36" s="5" t="s">
        <v>75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false" outlineLevel="0" collapsed="false">
      <c r="A37" s="7" t="s">
        <v>76</v>
      </c>
      <c r="B37" s="29" t="n">
        <f aca="false">SUM(B34:K34)</f>
        <v>194.786662462344</v>
      </c>
    </row>
    <row r="38" customFormat="false" ht="15" hidden="false" customHeight="false" outlineLevel="0" collapsed="false">
      <c r="A38" s="7" t="s">
        <v>77</v>
      </c>
      <c r="B38" s="29" t="n">
        <f aca="false">K29*(1+$B$10)*(1-$B$14)</f>
        <v>50.1230084862005</v>
      </c>
    </row>
    <row r="39" customFormat="false" ht="15" hidden="false" customHeight="false" outlineLevel="0" collapsed="false">
      <c r="A39" s="7" t="s">
        <v>78</v>
      </c>
      <c r="B39" s="29" t="n">
        <f aca="false">B38*(1-$B$10/$B$16)/($B$18-$B$10)</f>
        <v>563.883845469755</v>
      </c>
      <c r="C39" s="9" t="s">
        <v>79</v>
      </c>
    </row>
    <row r="40" customFormat="false" ht="15" hidden="false" customHeight="false" outlineLevel="0" collapsed="false">
      <c r="A40" s="7" t="s">
        <v>80</v>
      </c>
      <c r="B40" s="29" t="n">
        <f aca="false">B39/(1+$B$18)^9.5</f>
        <v>209.228747052448</v>
      </c>
    </row>
    <row r="41" customFormat="false" ht="15" hidden="false" customHeight="false" outlineLevel="0" collapsed="false">
      <c r="A41" s="7" t="s">
        <v>81</v>
      </c>
      <c r="B41" s="29" t="n">
        <f aca="false">B37+B40</f>
        <v>404.015409514792</v>
      </c>
    </row>
    <row r="42" customFormat="false" ht="15" hidden="false" customHeight="false" outlineLevel="0" collapsed="false">
      <c r="A42" s="7" t="s">
        <v>82</v>
      </c>
      <c r="B42" s="29" t="n">
        <f aca="false">B41+$B$19</f>
        <v>414.122409514792</v>
      </c>
    </row>
    <row r="43" customFormat="false" ht="15" hidden="false" customHeight="false" outlineLevel="0" collapsed="false">
      <c r="A43" s="11" t="s">
        <v>23</v>
      </c>
      <c r="B43" s="17" t="n">
        <f aca="false">B42/$B$20</f>
        <v>1080.97731536098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83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30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31</v>
      </c>
      <c r="B7" s="23" t="n">
        <v>49.9735</v>
      </c>
      <c r="C7" s="9" t="s">
        <v>32</v>
      </c>
    </row>
    <row r="8" customFormat="false" ht="15" hidden="false" customHeight="false" outlineLevel="0" collapsed="false">
      <c r="A8" s="7" t="s">
        <v>33</v>
      </c>
      <c r="B8" s="16" t="n">
        <v>0.08</v>
      </c>
    </row>
    <row r="9" customFormat="false" ht="15" hidden="false" customHeight="false" outlineLevel="0" collapsed="false">
      <c r="A9" s="7" t="s">
        <v>34</v>
      </c>
      <c r="B9" s="16" t="n">
        <v>0.05</v>
      </c>
      <c r="C9" s="9" t="s">
        <v>35</v>
      </c>
    </row>
    <row r="10" customFormat="false" ht="15" hidden="false" customHeight="false" outlineLevel="0" collapsed="false">
      <c r="A10" s="7" t="s">
        <v>36</v>
      </c>
      <c r="B10" s="16" t="n">
        <v>0.03</v>
      </c>
    </row>
    <row r="11" customFormat="false" ht="15" hidden="false" customHeight="false" outlineLevel="0" collapsed="false">
      <c r="A11" s="7" t="s">
        <v>37</v>
      </c>
      <c r="B11" s="16" t="n">
        <v>0.36</v>
      </c>
    </row>
    <row r="12" customFormat="false" ht="15" hidden="false" customHeight="false" outlineLevel="0" collapsed="false">
      <c r="A12" s="7" t="s">
        <v>38</v>
      </c>
      <c r="B12" s="16" t="n">
        <v>0.36</v>
      </c>
    </row>
    <row r="13" customFormat="false" ht="15" hidden="false" customHeight="false" outlineLevel="0" collapsed="false">
      <c r="A13" s="7" t="s">
        <v>39</v>
      </c>
      <c r="B13" s="24" t="n">
        <v>3</v>
      </c>
    </row>
    <row r="14" customFormat="false" ht="15" hidden="false" customHeight="false" outlineLevel="0" collapsed="false">
      <c r="A14" s="7" t="s">
        <v>40</v>
      </c>
      <c r="B14" s="16" t="n">
        <v>0.16</v>
      </c>
    </row>
    <row r="15" customFormat="false" ht="15" hidden="false" customHeight="false" outlineLevel="0" collapsed="false">
      <c r="A15" s="7" t="s">
        <v>41</v>
      </c>
      <c r="B15" s="25" t="n">
        <v>3</v>
      </c>
      <c r="C15" s="9" t="s">
        <v>42</v>
      </c>
    </row>
    <row r="16" customFormat="false" ht="15" hidden="false" customHeight="false" outlineLevel="0" collapsed="false">
      <c r="A16" s="7" t="s">
        <v>43</v>
      </c>
      <c r="B16" s="16" t="n">
        <v>0.3</v>
      </c>
      <c r="C16" s="9" t="s">
        <v>44</v>
      </c>
    </row>
    <row r="17" customFormat="false" ht="15" hidden="false" customHeight="false" outlineLevel="0" collapsed="false">
      <c r="A17" s="7" t="s">
        <v>45</v>
      </c>
      <c r="B17" s="8" t="n">
        <v>0.01</v>
      </c>
      <c r="C17" s="9" t="s">
        <v>46</v>
      </c>
    </row>
    <row r="18" customFormat="false" ht="15" hidden="false" customHeight="false" outlineLevel="0" collapsed="false">
      <c r="A18" s="7" t="s">
        <v>22</v>
      </c>
      <c r="B18" s="26" t="n">
        <f aca="false">Summary!$B$10+B17</f>
        <v>0.12</v>
      </c>
    </row>
    <row r="19" customFormat="false" ht="15" hidden="false" customHeight="false" outlineLevel="0" collapsed="false">
      <c r="A19" s="7" t="s">
        <v>47</v>
      </c>
      <c r="B19" s="23" t="n">
        <v>10.107</v>
      </c>
      <c r="C19" s="9" t="s">
        <v>48</v>
      </c>
    </row>
    <row r="20" customFormat="false" ht="15" hidden="false" customHeight="false" outlineLevel="0" collapsed="false">
      <c r="A20" s="7" t="s">
        <v>49</v>
      </c>
      <c r="B20" s="27" t="n">
        <v>0.3831</v>
      </c>
      <c r="C20" s="9" t="s">
        <v>50</v>
      </c>
    </row>
    <row r="22" customFormat="false" ht="19.5" hidden="false" customHeight="true" outlineLevel="0" collapsed="false">
      <c r="A22" s="5" t="s">
        <v>51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30" hidden="false" customHeight="true" outlineLevel="0" collapsed="false">
      <c r="A23" s="13" t="s">
        <v>52</v>
      </c>
      <c r="B23" s="14" t="s">
        <v>53</v>
      </c>
      <c r="C23" s="14" t="s">
        <v>54</v>
      </c>
      <c r="D23" s="14" t="s">
        <v>55</v>
      </c>
      <c r="E23" s="14" t="s">
        <v>56</v>
      </c>
      <c r="F23" s="14" t="s">
        <v>57</v>
      </c>
      <c r="G23" s="14" t="s">
        <v>58</v>
      </c>
      <c r="H23" s="14" t="s">
        <v>59</v>
      </c>
      <c r="I23" s="14" t="s">
        <v>60</v>
      </c>
      <c r="J23" s="14" t="s">
        <v>61</v>
      </c>
      <c r="K23" s="14" t="s">
        <v>62</v>
      </c>
    </row>
    <row r="24" customFormat="false" ht="15" hidden="false" customHeight="false" outlineLevel="0" collapsed="false">
      <c r="A24" s="7" t="s">
        <v>63</v>
      </c>
      <c r="B24" s="28" t="n">
        <v>1</v>
      </c>
      <c r="C24" s="28" t="n">
        <v>2</v>
      </c>
      <c r="D24" s="28" t="n">
        <v>3</v>
      </c>
      <c r="E24" s="28" t="n">
        <v>4</v>
      </c>
      <c r="F24" s="28" t="n">
        <v>5</v>
      </c>
      <c r="G24" s="28" t="n">
        <v>6</v>
      </c>
      <c r="H24" s="28" t="n">
        <v>7</v>
      </c>
      <c r="I24" s="28" t="n">
        <v>8</v>
      </c>
      <c r="J24" s="28" t="n">
        <v>9</v>
      </c>
      <c r="K24" s="28" t="n">
        <v>10</v>
      </c>
    </row>
    <row r="25" customFormat="false" ht="15" hidden="false" customHeight="false" outlineLevel="0" collapsed="false">
      <c r="A25" s="7" t="s">
        <v>64</v>
      </c>
      <c r="L25" s="9" t="s">
        <v>65</v>
      </c>
    </row>
    <row r="26" customFormat="false" ht="15" hidden="false" customHeight="false" outlineLevel="0" collapsed="false">
      <c r="A26" s="7" t="s">
        <v>66</v>
      </c>
      <c r="B26" s="19" t="n">
        <f aca="false">$B$8</f>
        <v>0.08</v>
      </c>
      <c r="C26" s="19" t="n">
        <f aca="false">$B$9</f>
        <v>0.05</v>
      </c>
      <c r="D26" s="19" t="n">
        <f aca="false">$B$9+($B$10-$B$9)*(D24-2)/8</f>
        <v>0.0475</v>
      </c>
      <c r="E26" s="19" t="n">
        <f aca="false">$B$9+($B$10-$B$9)*(E24-2)/8</f>
        <v>0.045</v>
      </c>
      <c r="F26" s="19" t="n">
        <f aca="false">$B$9+($B$10-$B$9)*(F24-2)/8</f>
        <v>0.0425</v>
      </c>
      <c r="G26" s="19" t="n">
        <f aca="false">$B$9+($B$10-$B$9)*(G24-2)/8</f>
        <v>0.04</v>
      </c>
      <c r="H26" s="19" t="n">
        <f aca="false">$B$9+($B$10-$B$9)*(H24-2)/8</f>
        <v>0.0375</v>
      </c>
      <c r="I26" s="19" t="n">
        <f aca="false">$B$9+($B$10-$B$9)*(I24-2)/8</f>
        <v>0.035</v>
      </c>
      <c r="J26" s="19" t="n">
        <f aca="false">$B$9+($B$10-$B$9)*(J24-2)/8</f>
        <v>0.0325</v>
      </c>
      <c r="K26" s="19" t="n">
        <f aca="false">$B$9+($B$10-$B$9)*(K24-2)/8</f>
        <v>0.03</v>
      </c>
    </row>
    <row r="27" customFormat="false" ht="15" hidden="false" customHeight="false" outlineLevel="0" collapsed="false">
      <c r="A27" s="7" t="s">
        <v>67</v>
      </c>
      <c r="B27" s="29" t="n">
        <f aca="false">$B$7*(1+B26)</f>
        <v>53.97138</v>
      </c>
      <c r="C27" s="29" t="n">
        <f aca="false">B27*(1+C26)</f>
        <v>56.669949</v>
      </c>
      <c r="D27" s="29" t="n">
        <f aca="false">C27*(1+D26)</f>
        <v>59.3617715775</v>
      </c>
      <c r="E27" s="29" t="n">
        <f aca="false">D27*(1+E26)</f>
        <v>62.0330512984875</v>
      </c>
      <c r="F27" s="29" t="n">
        <f aca="false">E27*(1+F26)</f>
        <v>64.6694559786732</v>
      </c>
      <c r="G27" s="29" t="n">
        <f aca="false">F27*(1+G26)</f>
        <v>67.2562342178202</v>
      </c>
      <c r="H27" s="29" t="n">
        <f aca="false">G27*(1+H26)</f>
        <v>69.7783430009884</v>
      </c>
      <c r="I27" s="29" t="n">
        <f aca="false">H27*(1+I26)</f>
        <v>72.220585006023</v>
      </c>
      <c r="J27" s="29" t="n">
        <f aca="false">I27*(1+J26)</f>
        <v>74.5677540187188</v>
      </c>
      <c r="K27" s="29" t="n">
        <f aca="false">J27*(1+K26)</f>
        <v>76.8047866392803</v>
      </c>
    </row>
    <row r="28" customFormat="false" ht="15" hidden="false" customHeight="false" outlineLevel="0" collapsed="false">
      <c r="A28" s="7" t="s">
        <v>68</v>
      </c>
      <c r="B28" s="19" t="n">
        <f aca="false">$B$11+($B$12-$B$11)*MIN(1,B24/$B$13)</f>
        <v>0.36</v>
      </c>
      <c r="C28" s="19" t="n">
        <f aca="false">$B$11+($B$12-$B$11)*MIN(1,C24/$B$13)</f>
        <v>0.36</v>
      </c>
      <c r="D28" s="19" t="n">
        <f aca="false">$B$11+($B$12-$B$11)*MIN(1,D24/$B$13)</f>
        <v>0.36</v>
      </c>
      <c r="E28" s="19" t="n">
        <f aca="false">$B$11+($B$12-$B$11)*MIN(1,E24/$B$13)</f>
        <v>0.36</v>
      </c>
      <c r="F28" s="19" t="n">
        <f aca="false">$B$11+($B$12-$B$11)*MIN(1,F24/$B$13)</f>
        <v>0.36</v>
      </c>
      <c r="G28" s="19" t="n">
        <f aca="false">$B$11+($B$12-$B$11)*MIN(1,G24/$B$13)</f>
        <v>0.36</v>
      </c>
      <c r="H28" s="19" t="n">
        <f aca="false">$B$11+($B$12-$B$11)*MIN(1,H24/$B$13)</f>
        <v>0.36</v>
      </c>
      <c r="I28" s="19" t="n">
        <f aca="false">$B$11+($B$12-$B$11)*MIN(1,I24/$B$13)</f>
        <v>0.36</v>
      </c>
      <c r="J28" s="19" t="n">
        <f aca="false">$B$11+($B$12-$B$11)*MIN(1,J24/$B$13)</f>
        <v>0.36</v>
      </c>
      <c r="K28" s="19" t="n">
        <f aca="false">$B$11+($B$12-$B$11)*MIN(1,K24/$B$13)</f>
        <v>0.36</v>
      </c>
    </row>
    <row r="29" customFormat="false" ht="15" hidden="false" customHeight="false" outlineLevel="0" collapsed="false">
      <c r="A29" s="7" t="s">
        <v>69</v>
      </c>
      <c r="B29" s="29" t="n">
        <f aca="false">B27*B28</f>
        <v>19.4296968</v>
      </c>
      <c r="C29" s="29" t="n">
        <f aca="false">C27*C28</f>
        <v>20.40118164</v>
      </c>
      <c r="D29" s="29" t="n">
        <f aca="false">D27*D28</f>
        <v>21.3702377679</v>
      </c>
      <c r="E29" s="29" t="n">
        <f aca="false">E27*E28</f>
        <v>22.3318984674555</v>
      </c>
      <c r="F29" s="29" t="n">
        <f aca="false">F27*F28</f>
        <v>23.2810041523224</v>
      </c>
      <c r="G29" s="29" t="n">
        <f aca="false">G27*G28</f>
        <v>24.2122443184153</v>
      </c>
      <c r="H29" s="29" t="n">
        <f aca="false">H27*H28</f>
        <v>25.1202034803558</v>
      </c>
      <c r="I29" s="29" t="n">
        <f aca="false">I27*I28</f>
        <v>25.9994106021683</v>
      </c>
      <c r="J29" s="29" t="n">
        <f aca="false">J27*J28</f>
        <v>26.8443914467388</v>
      </c>
      <c r="K29" s="29" t="n">
        <f aca="false">K27*K28</f>
        <v>27.6497231901409</v>
      </c>
    </row>
    <row r="30" customFormat="false" ht="15" hidden="false" customHeight="false" outlineLevel="0" collapsed="false">
      <c r="A30" s="7" t="s">
        <v>70</v>
      </c>
      <c r="B30" s="29" t="n">
        <f aca="false">B29*(1-$B$14)</f>
        <v>16.320945312</v>
      </c>
      <c r="C30" s="29" t="n">
        <f aca="false">C29*(1-$B$14)</f>
        <v>17.1369925776</v>
      </c>
      <c r="D30" s="29" t="n">
        <f aca="false">D29*(1-$B$14)</f>
        <v>17.950999725036</v>
      </c>
      <c r="E30" s="29" t="n">
        <f aca="false">E29*(1-$B$14)</f>
        <v>18.7587947126626</v>
      </c>
      <c r="F30" s="29" t="n">
        <f aca="false">F29*(1-$B$14)</f>
        <v>19.5560434879508</v>
      </c>
      <c r="G30" s="29" t="n">
        <f aca="false">G29*(1-$B$14)</f>
        <v>20.3382852274688</v>
      </c>
      <c r="H30" s="29" t="n">
        <f aca="false">H29*(1-$B$14)</f>
        <v>21.1009709234989</v>
      </c>
      <c r="I30" s="29" t="n">
        <f aca="false">I29*(1-$B$14)</f>
        <v>21.8395049058214</v>
      </c>
      <c r="J30" s="29" t="n">
        <f aca="false">J29*(1-$B$14)</f>
        <v>22.5492888152606</v>
      </c>
      <c r="K30" s="29" t="n">
        <f aca="false">K29*(1-$B$14)</f>
        <v>23.2257674797184</v>
      </c>
    </row>
    <row r="31" customFormat="false" ht="15" hidden="false" customHeight="false" outlineLevel="0" collapsed="false">
      <c r="A31" s="7" t="s">
        <v>71</v>
      </c>
      <c r="B31" s="29" t="n">
        <f aca="false">IF(ISNUMBER(B25),B25,(B27-$B$7)/$B$15)</f>
        <v>1.33262666666667</v>
      </c>
      <c r="C31" s="29" t="n">
        <f aca="false">IF(ISNUMBER(C25),C25,(C27-B27)/$B$15)</f>
        <v>0.899523</v>
      </c>
      <c r="D31" s="29" t="n">
        <f aca="false">IF(ISNUMBER(D25),D25,(D27-C27)/$B$15)</f>
        <v>0.897274192500002</v>
      </c>
      <c r="E31" s="29" t="n">
        <f aca="false">IF(ISNUMBER(E25),E25,(E27-D27)/$B$15)</f>
        <v>0.8904265736625</v>
      </c>
      <c r="F31" s="29" t="n">
        <f aca="false">IF(ISNUMBER(F25),F25,(F27-E27)/$B$15)</f>
        <v>0.878801560061907</v>
      </c>
      <c r="G31" s="29" t="n">
        <f aca="false">IF(ISNUMBER(G25),G25,(G27-F27)/$B$15)</f>
        <v>0.862259413048979</v>
      </c>
      <c r="H31" s="29" t="n">
        <f aca="false">IF(ISNUMBER(H25),H25,(H27-G27)/$B$15)</f>
        <v>0.840702927722755</v>
      </c>
      <c r="I31" s="29" t="n">
        <f aca="false">IF(ISNUMBER(I25),I25,(I27-H27)/$B$15)</f>
        <v>0.814080668344862</v>
      </c>
      <c r="J31" s="29" t="n">
        <f aca="false">IF(ISNUMBER(J25),J25,(J27-I27)/$B$15)</f>
        <v>0.782389670898581</v>
      </c>
      <c r="K31" s="29" t="n">
        <f aca="false">IF(ISNUMBER(K25),K25,(K27-J27)/$B$15)</f>
        <v>0.745677540187188</v>
      </c>
    </row>
    <row r="32" customFormat="false" ht="15" hidden="false" customHeight="false" outlineLevel="0" collapsed="false">
      <c r="A32" s="11" t="s">
        <v>72</v>
      </c>
      <c r="B32" s="30" t="n">
        <f aca="false">B30-B31</f>
        <v>14.9883186453333</v>
      </c>
      <c r="C32" s="30" t="n">
        <f aca="false">C30-C31</f>
        <v>16.2374695776</v>
      </c>
      <c r="D32" s="30" t="n">
        <f aca="false">D30-D31</f>
        <v>17.053725532536</v>
      </c>
      <c r="E32" s="30" t="n">
        <f aca="false">E30-E31</f>
        <v>17.8683681390001</v>
      </c>
      <c r="F32" s="30" t="n">
        <f aca="false">F30-F31</f>
        <v>18.6772419278889</v>
      </c>
      <c r="G32" s="30" t="n">
        <f aca="false">G30-G31</f>
        <v>19.4760258144198</v>
      </c>
      <c r="H32" s="30" t="n">
        <f aca="false">H30-H31</f>
        <v>20.2602679957761</v>
      </c>
      <c r="I32" s="30" t="n">
        <f aca="false">I30-I31</f>
        <v>21.0254242374765</v>
      </c>
      <c r="J32" s="30" t="n">
        <f aca="false">J30-J31</f>
        <v>21.766899144362</v>
      </c>
      <c r="K32" s="30" t="n">
        <f aca="false">K30-K31</f>
        <v>22.4800899395312</v>
      </c>
    </row>
    <row r="33" customFormat="false" ht="15" hidden="false" customHeight="false" outlineLevel="0" collapsed="false">
      <c r="A33" s="7" t="s">
        <v>73</v>
      </c>
      <c r="B33" s="31" t="n">
        <f aca="false">1/(1+$B$18)^(B24-0.5)</f>
        <v>0.944911182523068</v>
      </c>
      <c r="C33" s="31" t="n">
        <f aca="false">1/(1+$B$18)^(C24-0.5)</f>
        <v>0.843670698681311</v>
      </c>
      <c r="D33" s="31" t="n">
        <f aca="false">1/(1+$B$18)^(D24-0.5)</f>
        <v>0.753277409536885</v>
      </c>
      <c r="E33" s="31" t="n">
        <f aca="false">1/(1+$B$18)^(E24-0.5)</f>
        <v>0.672569115657933</v>
      </c>
      <c r="F33" s="31" t="n">
        <f aca="false">1/(1+$B$18)^(F24-0.5)</f>
        <v>0.600508138980297</v>
      </c>
      <c r="G33" s="31" t="n">
        <f aca="false">1/(1+$B$18)^(G24-0.5)</f>
        <v>0.536167981232408</v>
      </c>
      <c r="H33" s="31" t="n">
        <f aca="false">1/(1+$B$18)^(H24-0.5)</f>
        <v>0.47872141181465</v>
      </c>
      <c r="I33" s="31" t="n">
        <f aca="false">1/(1+$B$18)^(I24-0.5)</f>
        <v>0.427429831977367</v>
      </c>
      <c r="J33" s="31" t="n">
        <f aca="false">1/(1+$B$18)^(J24-0.5)</f>
        <v>0.38163377855122</v>
      </c>
      <c r="K33" s="31" t="n">
        <f aca="false">1/(1+$B$18)^(K24-0.5)</f>
        <v>0.340744445135018</v>
      </c>
    </row>
    <row r="34" customFormat="false" ht="15" hidden="false" customHeight="false" outlineLevel="0" collapsed="false">
      <c r="A34" s="7" t="s">
        <v>74</v>
      </c>
      <c r="B34" s="29" t="n">
        <f aca="false">B32*B33</f>
        <v>14.1626298951945</v>
      </c>
      <c r="C34" s="29" t="n">
        <f aca="false">C32*C33</f>
        <v>13.6990773033503</v>
      </c>
      <c r="D34" s="29" t="n">
        <f aca="false">D32*D33</f>
        <v>12.8461861921017</v>
      </c>
      <c r="E34" s="29" t="n">
        <f aca="false">E32*E33</f>
        <v>12.0177125574977</v>
      </c>
      <c r="F34" s="29" t="n">
        <f aca="false">F32*F33</f>
        <v>11.2158357914013</v>
      </c>
      <c r="G34" s="29" t="n">
        <f aca="false">G32*G33</f>
        <v>10.4424214433478</v>
      </c>
      <c r="H34" s="29" t="n">
        <f aca="false">H32*H33</f>
        <v>9.69902409868113</v>
      </c>
      <c r="I34" s="29" t="n">
        <f aca="false">I32*I33</f>
        <v>8.98689354907743</v>
      </c>
      <c r="J34" s="29" t="n">
        <f aca="false">J32*J33</f>
        <v>8.30698396780618</v>
      </c>
      <c r="K34" s="29" t="n">
        <f aca="false">K32*K33</f>
        <v>7.65996577303085</v>
      </c>
    </row>
    <row r="36" customFormat="false" ht="19.5" hidden="false" customHeight="true" outlineLevel="0" collapsed="false">
      <c r="A36" s="5" t="s">
        <v>75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false" outlineLevel="0" collapsed="false">
      <c r="A37" s="7" t="s">
        <v>76</v>
      </c>
      <c r="B37" s="29" t="n">
        <f aca="false">SUM(B34:K34)</f>
        <v>109.036730571489</v>
      </c>
    </row>
    <row r="38" customFormat="false" ht="15" hidden="false" customHeight="false" outlineLevel="0" collapsed="false">
      <c r="A38" s="7" t="s">
        <v>77</v>
      </c>
      <c r="B38" s="29" t="n">
        <f aca="false">K29*(1+$B$10)*(1-$B$14)</f>
        <v>23.9225405041099</v>
      </c>
    </row>
    <row r="39" customFormat="false" ht="15" hidden="false" customHeight="false" outlineLevel="0" collapsed="false">
      <c r="A39" s="7" t="s">
        <v>78</v>
      </c>
      <c r="B39" s="29" t="n">
        <f aca="false">B38*(1-$B$10/$B$16)/($B$18-$B$10)</f>
        <v>239.225405041099</v>
      </c>
      <c r="C39" s="9" t="s">
        <v>79</v>
      </c>
    </row>
    <row r="40" customFormat="false" ht="15" hidden="false" customHeight="false" outlineLevel="0" collapsed="false">
      <c r="A40" s="7" t="s">
        <v>80</v>
      </c>
      <c r="B40" s="29" t="n">
        <f aca="false">B39/(1+$B$18)^9.5</f>
        <v>81.5147279029293</v>
      </c>
    </row>
    <row r="41" customFormat="false" ht="15" hidden="false" customHeight="false" outlineLevel="0" collapsed="false">
      <c r="A41" s="7" t="s">
        <v>81</v>
      </c>
      <c r="B41" s="29" t="n">
        <f aca="false">B37+B40</f>
        <v>190.551458474418</v>
      </c>
    </row>
    <row r="42" customFormat="false" ht="15" hidden="false" customHeight="false" outlineLevel="0" collapsed="false">
      <c r="A42" s="7" t="s">
        <v>82</v>
      </c>
      <c r="B42" s="29" t="n">
        <f aca="false">B41+$B$19</f>
        <v>200.658458474418</v>
      </c>
    </row>
    <row r="43" customFormat="false" ht="15" hidden="false" customHeight="false" outlineLevel="0" collapsed="false">
      <c r="A43" s="11" t="s">
        <v>23</v>
      </c>
      <c r="B43" s="17" t="n">
        <f aca="false">B42/$B$20</f>
        <v>523.775668166062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84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30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31</v>
      </c>
      <c r="B7" s="23" t="n">
        <v>49.9735</v>
      </c>
      <c r="C7" s="9" t="s">
        <v>32</v>
      </c>
    </row>
    <row r="8" customFormat="false" ht="15" hidden="false" customHeight="false" outlineLevel="0" collapsed="false">
      <c r="A8" s="7" t="s">
        <v>33</v>
      </c>
      <c r="B8" s="16" t="n">
        <v>0.3</v>
      </c>
    </row>
    <row r="9" customFormat="false" ht="15" hidden="false" customHeight="false" outlineLevel="0" collapsed="false">
      <c r="A9" s="7" t="s">
        <v>34</v>
      </c>
      <c r="B9" s="16" t="n">
        <v>0.2</v>
      </c>
      <c r="C9" s="9" t="s">
        <v>35</v>
      </c>
    </row>
    <row r="10" customFormat="false" ht="15" hidden="false" customHeight="false" outlineLevel="0" collapsed="false">
      <c r="A10" s="7" t="s">
        <v>36</v>
      </c>
      <c r="B10" s="16" t="n">
        <v>0.03</v>
      </c>
    </row>
    <row r="11" customFormat="false" ht="15" hidden="false" customHeight="false" outlineLevel="0" collapsed="false">
      <c r="A11" s="7" t="s">
        <v>37</v>
      </c>
      <c r="B11" s="16" t="n">
        <v>0.43</v>
      </c>
    </row>
    <row r="12" customFormat="false" ht="15" hidden="false" customHeight="false" outlineLevel="0" collapsed="false">
      <c r="A12" s="7" t="s">
        <v>38</v>
      </c>
      <c r="B12" s="16" t="n">
        <v>0.47</v>
      </c>
    </row>
    <row r="13" customFormat="false" ht="15" hidden="false" customHeight="false" outlineLevel="0" collapsed="false">
      <c r="A13" s="7" t="s">
        <v>39</v>
      </c>
      <c r="B13" s="24" t="n">
        <v>3</v>
      </c>
    </row>
    <row r="14" customFormat="false" ht="15" hidden="false" customHeight="false" outlineLevel="0" collapsed="false">
      <c r="A14" s="7" t="s">
        <v>40</v>
      </c>
      <c r="B14" s="16" t="n">
        <v>0.16</v>
      </c>
    </row>
    <row r="15" customFormat="false" ht="15" hidden="false" customHeight="false" outlineLevel="0" collapsed="false">
      <c r="A15" s="7" t="s">
        <v>41</v>
      </c>
      <c r="B15" s="25" t="n">
        <v>3</v>
      </c>
      <c r="C15" s="9" t="s">
        <v>42</v>
      </c>
    </row>
    <row r="16" customFormat="false" ht="15" hidden="false" customHeight="false" outlineLevel="0" collapsed="false">
      <c r="A16" s="7" t="s">
        <v>43</v>
      </c>
      <c r="B16" s="16" t="n">
        <v>0.3</v>
      </c>
      <c r="C16" s="9" t="s">
        <v>44</v>
      </c>
    </row>
    <row r="17" customFormat="false" ht="15" hidden="false" customHeight="false" outlineLevel="0" collapsed="false">
      <c r="A17" s="7" t="s">
        <v>45</v>
      </c>
      <c r="B17" s="8" t="n">
        <v>-0.01</v>
      </c>
      <c r="C17" s="9" t="s">
        <v>46</v>
      </c>
    </row>
    <row r="18" customFormat="false" ht="15" hidden="false" customHeight="false" outlineLevel="0" collapsed="false">
      <c r="A18" s="7" t="s">
        <v>22</v>
      </c>
      <c r="B18" s="26" t="n">
        <f aca="false">Summary!$B$10+B17</f>
        <v>0.1</v>
      </c>
    </row>
    <row r="19" customFormat="false" ht="15" hidden="false" customHeight="false" outlineLevel="0" collapsed="false">
      <c r="A19" s="7" t="s">
        <v>47</v>
      </c>
      <c r="B19" s="23" t="n">
        <v>10.107</v>
      </c>
      <c r="C19" s="9" t="s">
        <v>48</v>
      </c>
    </row>
    <row r="20" customFormat="false" ht="15" hidden="false" customHeight="false" outlineLevel="0" collapsed="false">
      <c r="A20" s="7" t="s">
        <v>49</v>
      </c>
      <c r="B20" s="27" t="n">
        <v>0.3831</v>
      </c>
      <c r="C20" s="9" t="s">
        <v>50</v>
      </c>
    </row>
    <row r="22" customFormat="false" ht="19.5" hidden="false" customHeight="true" outlineLevel="0" collapsed="false">
      <c r="A22" s="5" t="s">
        <v>51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30" hidden="false" customHeight="true" outlineLevel="0" collapsed="false">
      <c r="A23" s="13" t="s">
        <v>52</v>
      </c>
      <c r="B23" s="14" t="s">
        <v>53</v>
      </c>
      <c r="C23" s="14" t="s">
        <v>54</v>
      </c>
      <c r="D23" s="14" t="s">
        <v>55</v>
      </c>
      <c r="E23" s="14" t="s">
        <v>56</v>
      </c>
      <c r="F23" s="14" t="s">
        <v>57</v>
      </c>
      <c r="G23" s="14" t="s">
        <v>58</v>
      </c>
      <c r="H23" s="14" t="s">
        <v>59</v>
      </c>
      <c r="I23" s="14" t="s">
        <v>60</v>
      </c>
      <c r="J23" s="14" t="s">
        <v>61</v>
      </c>
      <c r="K23" s="14" t="s">
        <v>62</v>
      </c>
    </row>
    <row r="24" customFormat="false" ht="15" hidden="false" customHeight="false" outlineLevel="0" collapsed="false">
      <c r="A24" s="7" t="s">
        <v>63</v>
      </c>
      <c r="B24" s="28" t="n">
        <v>1</v>
      </c>
      <c r="C24" s="28" t="n">
        <v>2</v>
      </c>
      <c r="D24" s="28" t="n">
        <v>3</v>
      </c>
      <c r="E24" s="28" t="n">
        <v>4</v>
      </c>
      <c r="F24" s="28" t="n">
        <v>5</v>
      </c>
      <c r="G24" s="28" t="n">
        <v>6</v>
      </c>
      <c r="H24" s="28" t="n">
        <v>7</v>
      </c>
      <c r="I24" s="28" t="n">
        <v>8</v>
      </c>
      <c r="J24" s="28" t="n">
        <v>9</v>
      </c>
      <c r="K24" s="28" t="n">
        <v>10</v>
      </c>
    </row>
    <row r="25" customFormat="false" ht="15" hidden="false" customHeight="false" outlineLevel="0" collapsed="false">
      <c r="A25" s="7" t="s">
        <v>64</v>
      </c>
      <c r="L25" s="9" t="s">
        <v>65</v>
      </c>
    </row>
    <row r="26" customFormat="false" ht="15" hidden="false" customHeight="false" outlineLevel="0" collapsed="false">
      <c r="A26" s="7" t="s">
        <v>66</v>
      </c>
      <c r="B26" s="19" t="n">
        <f aca="false">$B$8</f>
        <v>0.3</v>
      </c>
      <c r="C26" s="19" t="n">
        <f aca="false">$B$9</f>
        <v>0.2</v>
      </c>
      <c r="D26" s="19" t="n">
        <f aca="false">$B$9+($B$10-$B$9)*(D24-2)/8</f>
        <v>0.17875</v>
      </c>
      <c r="E26" s="19" t="n">
        <f aca="false">$B$9+($B$10-$B$9)*(E24-2)/8</f>
        <v>0.1575</v>
      </c>
      <c r="F26" s="19" t="n">
        <f aca="false">$B$9+($B$10-$B$9)*(F24-2)/8</f>
        <v>0.13625</v>
      </c>
      <c r="G26" s="19" t="n">
        <f aca="false">$B$9+($B$10-$B$9)*(G24-2)/8</f>
        <v>0.115</v>
      </c>
      <c r="H26" s="19" t="n">
        <f aca="false">$B$9+($B$10-$B$9)*(H24-2)/8</f>
        <v>0.09375</v>
      </c>
      <c r="I26" s="19" t="n">
        <f aca="false">$B$9+($B$10-$B$9)*(I24-2)/8</f>
        <v>0.0725</v>
      </c>
      <c r="J26" s="19" t="n">
        <f aca="false">$B$9+($B$10-$B$9)*(J24-2)/8</f>
        <v>0.05125</v>
      </c>
      <c r="K26" s="19" t="n">
        <f aca="false">$B$9+($B$10-$B$9)*(K24-2)/8</f>
        <v>0.03</v>
      </c>
    </row>
    <row r="27" customFormat="false" ht="15" hidden="false" customHeight="false" outlineLevel="0" collapsed="false">
      <c r="A27" s="7" t="s">
        <v>67</v>
      </c>
      <c r="B27" s="29" t="n">
        <f aca="false">$B$7*(1+B26)</f>
        <v>64.96555</v>
      </c>
      <c r="C27" s="29" t="n">
        <f aca="false">B27*(1+C26)</f>
        <v>77.95866</v>
      </c>
      <c r="D27" s="29" t="n">
        <f aca="false">C27*(1+D26)</f>
        <v>91.893770475</v>
      </c>
      <c r="E27" s="29" t="n">
        <f aca="false">D27*(1+E26)</f>
        <v>106.367039324813</v>
      </c>
      <c r="F27" s="29" t="n">
        <f aca="false">E27*(1+F26)</f>
        <v>120.859548432818</v>
      </c>
      <c r="G27" s="29" t="n">
        <f aca="false">F27*(1+G26)</f>
        <v>134.758396502592</v>
      </c>
      <c r="H27" s="29" t="n">
        <f aca="false">G27*(1+H26)</f>
        <v>147.39199617471</v>
      </c>
      <c r="I27" s="29" t="n">
        <f aca="false">H27*(1+I26)</f>
        <v>158.077915897377</v>
      </c>
      <c r="J27" s="29" t="n">
        <f aca="false">I27*(1+J26)</f>
        <v>166.179409087117</v>
      </c>
      <c r="K27" s="29" t="n">
        <f aca="false">J27*(1+K26)</f>
        <v>171.164791359731</v>
      </c>
    </row>
    <row r="28" customFormat="false" ht="15" hidden="false" customHeight="false" outlineLevel="0" collapsed="false">
      <c r="A28" s="7" t="s">
        <v>68</v>
      </c>
      <c r="B28" s="19" t="n">
        <f aca="false">$B$11+($B$12-$B$11)*MIN(1,B24/$B$13)</f>
        <v>0.443333333333333</v>
      </c>
      <c r="C28" s="19" t="n">
        <f aca="false">$B$11+($B$12-$B$11)*MIN(1,C24/$B$13)</f>
        <v>0.456666666666667</v>
      </c>
      <c r="D28" s="19" t="n">
        <f aca="false">$B$11+($B$12-$B$11)*MIN(1,D24/$B$13)</f>
        <v>0.47</v>
      </c>
      <c r="E28" s="19" t="n">
        <f aca="false">$B$11+($B$12-$B$11)*MIN(1,E24/$B$13)</f>
        <v>0.47</v>
      </c>
      <c r="F28" s="19" t="n">
        <f aca="false">$B$11+($B$12-$B$11)*MIN(1,F24/$B$13)</f>
        <v>0.47</v>
      </c>
      <c r="G28" s="19" t="n">
        <f aca="false">$B$11+($B$12-$B$11)*MIN(1,G24/$B$13)</f>
        <v>0.47</v>
      </c>
      <c r="H28" s="19" t="n">
        <f aca="false">$B$11+($B$12-$B$11)*MIN(1,H24/$B$13)</f>
        <v>0.47</v>
      </c>
      <c r="I28" s="19" t="n">
        <f aca="false">$B$11+($B$12-$B$11)*MIN(1,I24/$B$13)</f>
        <v>0.47</v>
      </c>
      <c r="J28" s="19" t="n">
        <f aca="false">$B$11+($B$12-$B$11)*MIN(1,J24/$B$13)</f>
        <v>0.47</v>
      </c>
      <c r="K28" s="19" t="n">
        <f aca="false">$B$11+($B$12-$B$11)*MIN(1,K24/$B$13)</f>
        <v>0.47</v>
      </c>
    </row>
    <row r="29" customFormat="false" ht="15" hidden="false" customHeight="false" outlineLevel="0" collapsed="false">
      <c r="A29" s="7" t="s">
        <v>69</v>
      </c>
      <c r="B29" s="29" t="n">
        <f aca="false">B27*B28</f>
        <v>28.8013938333333</v>
      </c>
      <c r="C29" s="29" t="n">
        <f aca="false">C27*C28</f>
        <v>35.6011214</v>
      </c>
      <c r="D29" s="29" t="n">
        <f aca="false">D27*D28</f>
        <v>43.19007212325</v>
      </c>
      <c r="E29" s="29" t="n">
        <f aca="false">E27*E28</f>
        <v>49.9925084826619</v>
      </c>
      <c r="F29" s="29" t="n">
        <f aca="false">F27*F28</f>
        <v>56.8039877634246</v>
      </c>
      <c r="G29" s="29" t="n">
        <f aca="false">G27*G28</f>
        <v>63.3364463562184</v>
      </c>
      <c r="H29" s="29" t="n">
        <f aca="false">H27*H28</f>
        <v>69.2742382021139</v>
      </c>
      <c r="I29" s="29" t="n">
        <f aca="false">I27*I28</f>
        <v>74.2966204717671</v>
      </c>
      <c r="J29" s="29" t="n">
        <f aca="false">J27*J28</f>
        <v>78.1043222709452</v>
      </c>
      <c r="K29" s="29" t="n">
        <f aca="false">K27*K28</f>
        <v>80.4474519390736</v>
      </c>
    </row>
    <row r="30" customFormat="false" ht="15" hidden="false" customHeight="false" outlineLevel="0" collapsed="false">
      <c r="A30" s="7" t="s">
        <v>70</v>
      </c>
      <c r="B30" s="29" t="n">
        <f aca="false">B29*(1-$B$14)</f>
        <v>24.19317082</v>
      </c>
      <c r="C30" s="29" t="n">
        <f aca="false">C29*(1-$B$14)</f>
        <v>29.904941976</v>
      </c>
      <c r="D30" s="29" t="n">
        <f aca="false">D29*(1-$B$14)</f>
        <v>36.27966058353</v>
      </c>
      <c r="E30" s="29" t="n">
        <f aca="false">E29*(1-$B$14)</f>
        <v>41.993707125436</v>
      </c>
      <c r="F30" s="29" t="n">
        <f aca="false">F29*(1-$B$14)</f>
        <v>47.7153497212766</v>
      </c>
      <c r="G30" s="29" t="n">
        <f aca="false">G29*(1-$B$14)</f>
        <v>53.2026149392234</v>
      </c>
      <c r="H30" s="29" t="n">
        <f aca="false">H29*(1-$B$14)</f>
        <v>58.1903600897756</v>
      </c>
      <c r="I30" s="29" t="n">
        <f aca="false">I29*(1-$B$14)</f>
        <v>62.4091611962844</v>
      </c>
      <c r="J30" s="29" t="n">
        <f aca="false">J29*(1-$B$14)</f>
        <v>65.607630707594</v>
      </c>
      <c r="K30" s="29" t="n">
        <f aca="false">K29*(1-$B$14)</f>
        <v>67.5758596288218</v>
      </c>
    </row>
    <row r="31" customFormat="false" ht="15" hidden="false" customHeight="false" outlineLevel="0" collapsed="false">
      <c r="A31" s="7" t="s">
        <v>71</v>
      </c>
      <c r="B31" s="29" t="n">
        <f aca="false">IF(ISNUMBER(B25),B25,(B27-$B$7)/$B$15)</f>
        <v>4.99735</v>
      </c>
      <c r="C31" s="29" t="n">
        <f aca="false">IF(ISNUMBER(C25),C25,(C27-B27)/$B$15)</f>
        <v>4.33103666666667</v>
      </c>
      <c r="D31" s="29" t="n">
        <f aca="false">IF(ISNUMBER(D25),D25,(D27-C27)/$B$15)</f>
        <v>4.645036825</v>
      </c>
      <c r="E31" s="29" t="n">
        <f aca="false">IF(ISNUMBER(E25),E25,(E27-D27)/$B$15)</f>
        <v>4.8244229499375</v>
      </c>
      <c r="F31" s="29" t="n">
        <f aca="false">IF(ISNUMBER(F25),F25,(F27-E27)/$B$15)</f>
        <v>4.83083636933524</v>
      </c>
      <c r="G31" s="29" t="n">
        <f aca="false">IF(ISNUMBER(G25),G25,(G27-F27)/$B$15)</f>
        <v>4.63294935659137</v>
      </c>
      <c r="H31" s="29" t="n">
        <f aca="false">IF(ISNUMBER(H25),H25,(H27-G27)/$B$15)</f>
        <v>4.21119989070601</v>
      </c>
      <c r="I31" s="29" t="n">
        <f aca="false">IF(ISNUMBER(I25),I25,(I27-H27)/$B$15)</f>
        <v>3.56197324088884</v>
      </c>
      <c r="J31" s="29" t="n">
        <f aca="false">IF(ISNUMBER(J25),J25,(J27-I27)/$B$15)</f>
        <v>2.70049772991353</v>
      </c>
      <c r="K31" s="29" t="n">
        <f aca="false">IF(ISNUMBER(K25),K25,(K27-J27)/$B$15)</f>
        <v>1.66179409087117</v>
      </c>
    </row>
    <row r="32" customFormat="false" ht="15" hidden="false" customHeight="false" outlineLevel="0" collapsed="false">
      <c r="A32" s="11" t="s">
        <v>72</v>
      </c>
      <c r="B32" s="30" t="n">
        <f aca="false">B30-B31</f>
        <v>19.19582082</v>
      </c>
      <c r="C32" s="30" t="n">
        <f aca="false">C30-C31</f>
        <v>25.5739053093333</v>
      </c>
      <c r="D32" s="30" t="n">
        <f aca="false">D30-D31</f>
        <v>31.63462375853</v>
      </c>
      <c r="E32" s="30" t="n">
        <f aca="false">E30-E31</f>
        <v>37.1692841754985</v>
      </c>
      <c r="F32" s="30" t="n">
        <f aca="false">F30-F31</f>
        <v>42.8845133519414</v>
      </c>
      <c r="G32" s="30" t="n">
        <f aca="false">G30-G31</f>
        <v>48.5696655826321</v>
      </c>
      <c r="H32" s="30" t="n">
        <f aca="false">H30-H31</f>
        <v>53.9791601990696</v>
      </c>
      <c r="I32" s="30" t="n">
        <f aca="false">I30-I31</f>
        <v>58.8471879553956</v>
      </c>
      <c r="J32" s="30" t="n">
        <f aca="false">J30-J31</f>
        <v>62.9071329776804</v>
      </c>
      <c r="K32" s="30" t="n">
        <f aca="false">K30-K31</f>
        <v>65.9140655379506</v>
      </c>
    </row>
    <row r="33" customFormat="false" ht="15" hidden="false" customHeight="false" outlineLevel="0" collapsed="false">
      <c r="A33" s="7" t="s">
        <v>73</v>
      </c>
      <c r="B33" s="31" t="n">
        <f aca="false">1/(1+$B$18)^(B24-0.5)</f>
        <v>0.953462589245592</v>
      </c>
      <c r="C33" s="31" t="n">
        <f aca="false">1/(1+$B$18)^(C24-0.5)</f>
        <v>0.866784172041447</v>
      </c>
      <c r="D33" s="31" t="n">
        <f aca="false">1/(1+$B$18)^(D24-0.5)</f>
        <v>0.78798561094677</v>
      </c>
      <c r="E33" s="31" t="n">
        <f aca="false">1/(1+$B$18)^(E24-0.5)</f>
        <v>0.716350555406155</v>
      </c>
      <c r="F33" s="31" t="n">
        <f aca="false">1/(1+$B$18)^(F24-0.5)</f>
        <v>0.651227777641959</v>
      </c>
      <c r="G33" s="31" t="n">
        <f aca="false">1/(1+$B$18)^(G24-0.5)</f>
        <v>0.592025252401781</v>
      </c>
      <c r="H33" s="31" t="n">
        <f aca="false">1/(1+$B$18)^(H24-0.5)</f>
        <v>0.53820477491071</v>
      </c>
      <c r="I33" s="31" t="n">
        <f aca="false">1/(1+$B$18)^(I24-0.5)</f>
        <v>0.489277068100645</v>
      </c>
      <c r="J33" s="31" t="n">
        <f aca="false">1/(1+$B$18)^(J24-0.5)</f>
        <v>0.44479733463695</v>
      </c>
      <c r="K33" s="31" t="n">
        <f aca="false">1/(1+$B$18)^(K24-0.5)</f>
        <v>0.404361213306318</v>
      </c>
    </row>
    <row r="34" customFormat="false" ht="15" hidden="false" customHeight="false" outlineLevel="0" collapsed="false">
      <c r="A34" s="7" t="s">
        <v>74</v>
      </c>
      <c r="B34" s="29" t="n">
        <f aca="false">B32*B33</f>
        <v>18.3024970217317</v>
      </c>
      <c r="C34" s="29" t="n">
        <f aca="false">C32*C33</f>
        <v>22.1670563394169</v>
      </c>
      <c r="D34" s="29" t="n">
        <f aca="false">D32*D33</f>
        <v>24.9276283294365</v>
      </c>
      <c r="E34" s="29" t="n">
        <f aca="false">E32*E33</f>
        <v>26.6262373631675</v>
      </c>
      <c r="F34" s="29" t="n">
        <f aca="false">F32*F33</f>
        <v>27.9275863254417</v>
      </c>
      <c r="G34" s="29" t="n">
        <f aca="false">G32*G33</f>
        <v>28.7544685256278</v>
      </c>
      <c r="H34" s="29" t="n">
        <f aca="false">H32*H33</f>
        <v>29.0518417648094</v>
      </c>
      <c r="I34" s="29" t="n">
        <f aca="false">I32*I33</f>
        <v>28.7925795887835</v>
      </c>
      <c r="J34" s="29" t="n">
        <f aca="false">J32*J33</f>
        <v>27.9809250781244</v>
      </c>
      <c r="K34" s="29" t="n">
        <f aca="false">K32*K33</f>
        <v>26.6530915148779</v>
      </c>
    </row>
    <row r="36" customFormat="false" ht="19.5" hidden="false" customHeight="true" outlineLevel="0" collapsed="false">
      <c r="A36" s="5" t="s">
        <v>75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false" outlineLevel="0" collapsed="false">
      <c r="A37" s="7" t="s">
        <v>76</v>
      </c>
      <c r="B37" s="29" t="n">
        <f aca="false">SUM(B34:K34)</f>
        <v>261.183911851417</v>
      </c>
    </row>
    <row r="38" customFormat="false" ht="15" hidden="false" customHeight="false" outlineLevel="0" collapsed="false">
      <c r="A38" s="7" t="s">
        <v>77</v>
      </c>
      <c r="B38" s="29" t="n">
        <f aca="false">K29*(1+$B$10)*(1-$B$14)</f>
        <v>69.6031354176864</v>
      </c>
    </row>
    <row r="39" customFormat="false" ht="15" hidden="false" customHeight="false" outlineLevel="0" collapsed="false">
      <c r="A39" s="7" t="s">
        <v>78</v>
      </c>
      <c r="B39" s="29" t="n">
        <f aca="false">B38*(1-$B$10/$B$16)/($B$18-$B$10)</f>
        <v>894.897455370254</v>
      </c>
      <c r="C39" s="9" t="s">
        <v>79</v>
      </c>
    </row>
    <row r="40" customFormat="false" ht="15" hidden="false" customHeight="false" outlineLevel="0" collapsed="false">
      <c r="A40" s="7" t="s">
        <v>80</v>
      </c>
      <c r="B40" s="29" t="n">
        <f aca="false">B39/(1+$B$18)^9.5</f>
        <v>361.861820838253</v>
      </c>
    </row>
    <row r="41" customFormat="false" ht="15" hidden="false" customHeight="false" outlineLevel="0" collapsed="false">
      <c r="A41" s="7" t="s">
        <v>81</v>
      </c>
      <c r="B41" s="29" t="n">
        <f aca="false">B37+B40</f>
        <v>623.04573268967</v>
      </c>
    </row>
    <row r="42" customFormat="false" ht="15" hidden="false" customHeight="false" outlineLevel="0" collapsed="false">
      <c r="A42" s="7" t="s">
        <v>82</v>
      </c>
      <c r="B42" s="29" t="n">
        <f aca="false">B41+$B$19</f>
        <v>633.15273268967</v>
      </c>
    </row>
    <row r="43" customFormat="false" ht="15" hidden="false" customHeight="false" outlineLevel="0" collapsed="false">
      <c r="A43" s="11" t="s">
        <v>23</v>
      </c>
      <c r="B43" s="17" t="n">
        <f aca="false">B42/$B$20</f>
        <v>1652.70877757679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2026-10-22T20:53:22Z</dcterms:created>
  <dc:creator>LDB Finance</dc:creator>
  <dc:description/>
  <dc:language>en-US</dc:language>
  <cp:lastModifiedBy/>
  <dcterms:modified xsi:type="dcterms:W3CDTF">2026-10-22T20:53:23Z</dcterms:modified>
  <cp:revision>0</cp:revision>
  <dc:subject/>
  <dc:title>ASML Holding (ASML), US$ at 1.123 per euro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