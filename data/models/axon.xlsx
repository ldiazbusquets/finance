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<sst xmlns="http://schemas.openxmlformats.org/spreadsheetml/2006/main" count="46" uniqueCount="36">
  <si>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</si>
  <si>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Axon Enterprise (AXON)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</si>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</sst>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131.644185464542</v>
      </c>
      <c r="C8" s="10" t="n">
        <f aca="false">Model!C23</f>
        <v>289.093988048887</v>
      </c>
      <c r="D8" s="10" t="n">
        <f aca="false">Model!D23</f>
        <v>530.812699058657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310.161215155243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-0.217357519164161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(Model!$C$20/(1+B16)^Model!$C$13+Model!$C$14)/Model!$C$15</f>
        <v>311.846042657009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(Model!$C$20/(1+B17)^Model!$C$13+Model!$C$14)/Model!$C$15</f>
        <v>300.211501325667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(Model!$C$20/(1+B18)^Model!$C$13+Model!$C$14)/Model!$C$15</f>
        <v>289.093988048887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(Model!$C$20/(1+B19)^Model!$C$13+Model!$C$14)/Model!$C$15</f>
        <v>278.466174760576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(Model!$C$20/(1+B20)^Model!$C$13+Model!$C$14)/Model!$C$15</f>
        <v>268.302403843206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0.77025</v>
      </c>
      <c r="C19" s="24" t="n">
        <f aca="false">C8*C9*(1-C10)</f>
        <v>1.343</v>
      </c>
      <c r="D19" s="24" t="n">
        <f aca="false">D8*D9*(1-D10)</f>
        <v>2.07375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19.25625</v>
      </c>
      <c r="C20" s="24" t="n">
        <f aca="false">C19*C11</f>
        <v>40.29</v>
      </c>
      <c r="D20" s="24" t="n">
        <f aca="false">D19*D11</f>
        <v>72.58125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12.6846883208797</v>
      </c>
      <c r="C21" s="24" t="n">
        <f aca="false">C20/(1+C12)^C13</f>
        <v>26.5402709483021</v>
      </c>
      <c r="D21" s="24" t="n">
        <f aca="false">D20/(1+D12)^D13</f>
        <v>47.8115175171618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11.5846883208797</v>
      </c>
      <c r="C22" s="24" t="n">
        <f aca="false">C21+C14</f>
        <v>25.4402709483021</v>
      </c>
      <c r="D22" s="24" t="n">
        <f aca="false">D21+D14</f>
        <v>46.7115175171618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131.644185464542</v>
      </c>
      <c r="C23" s="13" t="n">
        <f aca="false">C22/C15</f>
        <v>289.093988048887</v>
      </c>
      <c r="D23" s="13" t="n">
        <f aca="false">D22/D15</f>
        <v>530.812699058657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