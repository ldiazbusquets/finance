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<sst xmlns="http://schemas.openxmlformats.org/spreadsheetml/2006/main" count="44" uniqueCount="35">
  <si>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</si>
  <si>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Bloomberg LP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</si>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</sst>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35.4597988847418</v>
      </c>
      <c r="C8" s="10" t="n">
        <f aca="false">Model!C21</f>
        <v>62.0546480482981</v>
      </c>
      <c r="D8" s="10" t="n">
        <f aca="false">Model!D21</f>
        <v>96.0369553128423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63.9015125735451</v>
      </c>
    </row>
    <row r="11" customFormat="false" ht="15" hidden="false" customHeight="false" outlineLevel="0" collapsed="false">
      <c r="A11" s="9" t="s">
        <v>10</v>
      </c>
      <c r="C11" s="14" t="n">
        <v>80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-0.201231092830687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0.07</v>
      </c>
      <c r="C16" s="18" t="n">
        <f aca="false">(Model!$C$19/(1+B16)^Model!$C$13+0+Model!$C$14)</f>
        <v>66.8259586783454</v>
      </c>
    </row>
    <row r="17" customFormat="false" ht="15" hidden="false" customHeight="false" outlineLevel="0" collapsed="false">
      <c r="A17" s="16"/>
      <c r="B17" s="17" t="n">
        <v>0.08</v>
      </c>
      <c r="C17" s="18" t="n">
        <f aca="false">(Model!$C$19/(1+B17)^Model!$C$13+0+Model!$C$14)</f>
        <v>64.3850869616759</v>
      </c>
    </row>
    <row r="18" customFormat="false" ht="15" hidden="false" customHeight="false" outlineLevel="0" collapsed="false">
      <c r="A18" s="16"/>
      <c r="B18" s="17" t="n">
        <v>0.09</v>
      </c>
      <c r="C18" s="18" t="n">
        <f aca="false">(Model!$C$19/(1+B18)^Model!$C$13+0+Model!$C$14)</f>
        <v>62.0546480482981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(Model!$C$19/(1+B19)^Model!$C$13+0+Model!$C$14)</f>
        <v>59.8287002253944</v>
      </c>
    </row>
    <row r="20" customFormat="false" ht="15" hidden="false" customHeight="false" outlineLevel="0" collapsed="false">
      <c r="A20" s="16"/>
      <c r="B20" s="17" t="n">
        <v>0.11</v>
      </c>
      <c r="C20" s="18" t="n">
        <f aca="false">(Model!$C$19/(1+B20)^Model!$C$13+0+Model!$C$14)</f>
        <v>57.7016714264261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16</v>
      </c>
      <c r="C8" s="14" t="n">
        <v>18</v>
      </c>
      <c r="D8" s="14" t="n">
        <v>20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0.33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18</v>
      </c>
      <c r="C11" s="20" t="n">
        <v>22</v>
      </c>
      <c r="D11" s="20" t="n">
        <v>26</v>
      </c>
    </row>
    <row r="12" customFormat="false" ht="15" hidden="false" customHeight="false" outlineLevel="0" collapsed="false">
      <c r="A12" s="9" t="s">
        <v>14</v>
      </c>
      <c r="B12" s="11" t="n">
        <v>0.09</v>
      </c>
      <c r="C12" s="11" t="n">
        <v>0.09</v>
      </c>
      <c r="D12" s="11" t="n">
        <v>0.09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2.7808</v>
      </c>
      <c r="C18" s="22" t="n">
        <f aca="false">C8*C9*(1-C10)</f>
        <v>3.9816</v>
      </c>
      <c r="D18" s="22" t="n">
        <f aca="false">D8*D9*(1-D10)</f>
        <v>5.214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50.0544</v>
      </c>
      <c r="C19" s="22" t="n">
        <f aca="false">C18*C11</f>
        <v>87.5952</v>
      </c>
      <c r="D19" s="22" t="n">
        <f aca="false">D18*D11</f>
        <v>135.564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35.4597988847418</v>
      </c>
      <c r="C20" s="22" t="n">
        <f aca="false">C19/(1+C12)^C13</f>
        <v>62.0546480482981</v>
      </c>
      <c r="D20" s="22" t="n">
        <f aca="false">D19/(1+D12)^D13</f>
        <v>96.0369553128423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35.4597988847418</v>
      </c>
      <c r="C21" s="13" t="n">
        <f aca="false">C20+C14</f>
        <v>62.0546480482981</v>
      </c>
      <c r="D21" s="13" t="n">
        <f aca="false">D20+D14</f>
        <v>96.0369553128423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Bloomberg LP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