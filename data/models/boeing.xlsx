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ase" sheetId="2" state="visible" r:id="rId4"/>
    <sheet name="Bear" sheetId="3" state="visible" r:id="rId5"/>
    <sheet name="Bul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<sst xmlns="http://schemas.openxmlformats.org/spreadsheetml/2006/main" count="163" uniqueCount="77">
  <si>
    <t xml:space="preserve">LDB FINANCE</t>
  </si>
  <si>
    <t xml:space="preserve">Boeing (BA)</t>
  </si>
  <si>
    <t xml:space="preserve">Ten-year discounted free cash flow to the firm as production recovers  ·  Inputs in blue can be changed; everything else recalculates.</t>
  </si>
  <si>
    <t xml:space="preserve">DISCOUNT RATE (WACC)</t>
  </si>
  <si>
    <t xml:space="preserve">Risk-free rate (10-year Treasury)</t>
  </si>
  <si>
    <t xml:space="preserve">FRED, October 2026</t>
  </si>
  <si>
    <t xml:space="preserve">Equity risk premium</t>
  </si>
  <si>
    <t xml:space="preserve">Long-run U.S. premium</t>
  </si>
  <si>
    <t xml:space="preserve">Beta</t>
  </si>
  <si>
    <t xml:space="preserve">Measured against the S&amp;P 500</t>
  </si>
  <si>
    <t xml:space="preserve">Cost of equity = risk-free + beta x premium</t>
  </si>
  <si>
    <t xml:space="preserve">Share price ($)</t>
  </si>
  <si>
    <t xml:space="preserve">Price at writing</t>
  </si>
  <si>
    <t xml:space="preserve">Diluted shares (billions)</t>
  </si>
  <si>
    <t xml:space="preserve">Latest filing</t>
  </si>
  <si>
    <t xml:space="preserve">Market value of equity ($B)</t>
  </si>
  <si>
    <t xml:space="preserve">Debt ($B)</t>
  </si>
  <si>
    <t xml:space="preserve">Latest balance sheet</t>
  </si>
  <si>
    <t xml:space="preserve">Pre-tax cost of debt</t>
  </si>
  <si>
    <t xml:space="preserve">Tax rate on interest</t>
  </si>
  <si>
    <t xml:space="preserve">U.S. federal rate</t>
  </si>
  <si>
    <t xml:space="preserve">WACC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</si>
  <si>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</si>
  <si>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</si>
  <si>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</si>
  <si>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</si>
  <si>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</si>
  <si>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</si>
  <si>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</si>
  <si>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</si>
  <si>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</si>
  <si>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</si>
  <si>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</si>
  <si>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</si>
  <si>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</si>
  <si>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rate; the cash flows themselves do not change.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</si>
  <si>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</si>
  <si>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</si>
  <si>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https://github.com/ldiazbusquets/finance/blob/main/_source/models/ba.py, and checked against it each time the file is made.</t>
  </si>
  <si>
    <t xml:space="preserve">For education only. Not investment advice.</t>
  </si>
  <si>
    <t xml:space="preserve">Base case: free cash flow back to normal, $ billions</t>
  </si>
  <si>
    <t xml:space="preserve">INPUTS</t>
  </si>
  <si>
    <t xml:space="preserve">After-tax interest added back ($B a year)</t>
  </si>
  <si>
    <t xml:space="preserve">Turns free cash flow into cash flow to the firm</t>
  </si>
  <si>
    <t xml:space="preserve">Growth in year 6</t>
  </si>
  <si>
    <t xml:space="preserve">Fades in a straight line to terminal growth by year 10</t>
  </si>
  <si>
    <t xml:space="preserve">Terminal growth</t>
  </si>
  <si>
    <t xml:space="preserve">Discount rate shift for this case</t>
  </si>
  <si>
    <t xml:space="preserve">Net debt ($B)</t>
  </si>
  <si>
    <t xml:space="preserve">PROJECTION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</si>
  <si>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</si>
  <si>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</si>
  <si>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</si>
  <si>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</si>
  <si>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</si>
  <si>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</si>
  <si>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</si>
  <si>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</si>
  <si>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</si>
  <si>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</si>
  <si>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</si>
  <si>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Year number</t>
  </si>
  <si>
    <t xml:space="preserve">Free cash flow path ($B)</t>
  </si>
  <si>
    <t xml:space="preserve">Years 1-5: the production recovery</t>
  </si>
  <si>
    <t xml:space="preserve">Growth</t>
  </si>
  <si>
    <t xml:space="preserve">Free cash flow to the firm ($B)</t>
  </si>
  <si>
    <t xml:space="preserve">Discount factor (mid-year)</t>
  </si>
  <si>
    <t xml:space="preserve">Present value ($B)</t>
  </si>
  <si>
    <t xml:space="preserve">BRIDGE TO VALUE PER SHARE</t>
  </si>
  <si>
    <t xml:space="preserve">Present value of ten years of cash flow ($B)</t>
  </si>
  <si>
    <t xml:space="preserve">Terminal value ($B)</t>
  </si>
  <si>
    <t xml:space="preserve">FCFF10 x (1 + g) / (discount rate - g)</t>
  </si>
  <si>
    <t xml:space="preserve">Present value of terminal value ($B)</t>
  </si>
  <si>
    <t xml:space="preserve">Enterprise value ($B)</t>
  </si>
  <si>
    <t xml:space="preserve">Equity value ($B)</t>
  </si>
  <si>
    <t xml:space="preserve">Bear case: free cash flow back to normal, $ billions</t>
  </si>
  <si>
    <t xml:space="preserve">Bull case: free cash flow back to normal, $ billions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</si>
</sst>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%;\(0.00%\);\-"/>
    <numFmt numFmtId="166" formatCode="0.00"/>
    <numFmt numFmtId="167" formatCode="\$#,##0.00;&quot;($&quot;#,##0.00\);\-"/>
    <numFmt numFmtId="168" formatCode="0.0000"/>
    <numFmt numFmtId="169" formatCode="#,##0.0;\(#,##0.0\);\-"/>
    <numFmt numFmtId="170" formatCode="0.0%;\(0.0%\);\-"/>
    <numFmt numFmtId="171" formatCode="#,##0.00;\(#,##0.00\);\-"/>
    <numFmt numFmtId="172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7A6E62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  <fill>
      <patternFill patternType="solid">
        <fgColor rgb="FF2A211A"/>
        <bgColor rgb="FF1B1511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15" hidden="false" customHeight="false" outlineLevel="0" collapsed="false">
      <c r="A7" s="7" t="s">
        <v>4</v>
      </c>
      <c r="B7" s="8" t="n">
        <v>0.0515</v>
      </c>
      <c r="E7" s="9" t="s">
        <v>5</v>
      </c>
    </row>
    <row r="8" customFormat="false" ht="15" hidden="false" customHeight="false" outlineLevel="0" collapsed="false">
      <c r="A8" s="7" t="s">
        <v>6</v>
      </c>
      <c r="B8" s="8" t="n">
        <v>0.045</v>
      </c>
      <c r="E8" s="9" t="s">
        <v>7</v>
      </c>
    </row>
    <row r="9" customFormat="false" ht="15" hidden="false" customHeight="false" outlineLevel="0" collapsed="false">
      <c r="A9" s="7" t="s">
        <v>8</v>
      </c>
      <c r="B9" s="10" t="n">
        <v>1.35</v>
      </c>
      <c r="E9" s="9" t="s">
        <v>9</v>
      </c>
    </row>
    <row r="10" customFormat="false" ht="15" hidden="false" customHeight="false" outlineLevel="0" collapsed="false">
      <c r="A10" s="7" t="s">
        <v>10</v>
      </c>
      <c r="B10" s="11" t="n">
        <f aca="false">B7+B9*B8</f>
        <v>0.11225</v>
      </c>
    </row>
    <row r="11" customFormat="false" ht="15" hidden="false" customHeight="false" outlineLevel="0" collapsed="false">
      <c r="A11" s="7" t="s">
        <v>11</v>
      </c>
      <c r="B11" s="12" t="n">
        <v>190.47</v>
      </c>
      <c r="E11" s="9" t="s">
        <v>12</v>
      </c>
    </row>
    <row r="12" customFormat="false" ht="15" hidden="false" customHeight="false" outlineLevel="0" collapsed="false">
      <c r="A12" s="7" t="s">
        <v>13</v>
      </c>
      <c r="B12" s="13" t="n">
        <v>0.7906</v>
      </c>
      <c r="E12" s="9" t="s">
        <v>14</v>
      </c>
    </row>
    <row r="13" customFormat="false" ht="15" hidden="false" customHeight="false" outlineLevel="0" collapsed="false">
      <c r="A13" s="7" t="s">
        <v>15</v>
      </c>
      <c r="B13" s="14" t="n">
        <f aca="false">B11*B12</f>
        <v>150.585582</v>
      </c>
    </row>
    <row r="14" customFormat="false" ht="15" hidden="false" customHeight="false" outlineLevel="0" collapsed="false">
      <c r="A14" s="7" t="s">
        <v>16</v>
      </c>
      <c r="B14" s="15" t="n">
        <v>45.6</v>
      </c>
      <c r="E14" s="9" t="s">
        <v>17</v>
      </c>
    </row>
    <row r="15" customFormat="false" ht="15" hidden="false" customHeight="false" outlineLevel="0" collapsed="false">
      <c r="A15" s="7" t="s">
        <v>18</v>
      </c>
      <c r="B15" s="8" t="n">
        <v>0.06</v>
      </c>
    </row>
    <row r="16" customFormat="false" ht="15" hidden="false" customHeight="false" outlineLevel="0" collapsed="false">
      <c r="A16" s="7" t="s">
        <v>19</v>
      </c>
      <c r="B16" s="16" t="n">
        <v>0.21</v>
      </c>
      <c r="E16" s="9" t="s">
        <v>20</v>
      </c>
    </row>
    <row r="17" customFormat="false" ht="15" hidden="false" customHeight="false" outlineLevel="0" collapsed="false">
      <c r="A17" s="17" t="s">
        <v>21</v>
      </c>
      <c r="B17" s="18" t="n">
        <f aca="false">B13/(B13+B14)*B10+B14/(B13+B14)*B15*(1-B16)</f>
        <v>0.0971767210676063</v>
      </c>
    </row>
    <row r="19" customFormat="false" ht="19.5" hidden="false" customHeight="true" outlineLevel="0" collapsed="false">
      <c r="A19" s="5" t="s">
        <v>22</v>
      </c>
      <c r="B19" s="6"/>
      <c r="C19" s="6"/>
      <c r="D19" s="6"/>
      <c r="E19" s="6"/>
    </row>
    <row r="20" customFormat="false" ht="30" hidden="false" customHeight="true" outlineLevel="0" collapsed="false">
      <c r="A20" s="19"/>
      <c r="B20" s="20" t="s">
        <v>23</v>
      </c>
      <c r="C20" s="20" t="s">
        <v>24</v>
      </c>
      <c r="D20" s="20" t="s">
        <v>25</v>
      </c>
    </row>
    <row r="21" customFormat="false" ht="15" hidden="false" customHeight="false" outlineLevel="0" collapsed="false">
      <c r="A21" s="7" t="s">
        <v>26</v>
      </c>
      <c r="B21" s="21" t="n">
        <f aca="false">Bear!$B$30</f>
        <v>105.08626188093</v>
      </c>
      <c r="C21" s="21" t="n">
        <f aca="false">Base!$B$30</f>
        <v>197.085694634259</v>
      </c>
      <c r="D21" s="21" t="n">
        <f aca="false">Bull!$B$30</f>
        <v>290.625522012393</v>
      </c>
    </row>
    <row r="22" customFormat="false" ht="15" hidden="false" customHeight="false" outlineLevel="0" collapsed="false">
      <c r="A22" s="7" t="s">
        <v>27</v>
      </c>
      <c r="B22" s="16" t="n">
        <v>0.25</v>
      </c>
      <c r="C22" s="16" t="n">
        <v>0.5</v>
      </c>
      <c r="D22" s="16" t="n">
        <v>0.25</v>
      </c>
    </row>
    <row r="23" customFormat="false" ht="15" hidden="false" customHeight="false" outlineLevel="0" collapsed="false">
      <c r="A23" s="17" t="s">
        <v>28</v>
      </c>
      <c r="C23" s="22" t="n">
        <f aca="false">SUMPRODUCT(B21:D21,B22:D22)</f>
        <v>197.47079329046</v>
      </c>
    </row>
    <row r="24" customFormat="false" ht="15" hidden="false" customHeight="false" outlineLevel="0" collapsed="false">
      <c r="A24" s="7" t="s">
        <v>29</v>
      </c>
      <c r="C24" s="12" t="n">
        <v>190.47</v>
      </c>
    </row>
    <row r="25" customFormat="false" ht="15" hidden="false" customHeight="false" outlineLevel="0" collapsed="false">
      <c r="A25" s="7" t="s">
        <v>30</v>
      </c>
      <c r="C25" s="23" t="n">
        <f aca="false">C23/C24-1</f>
        <v>0.0367553593240937</v>
      </c>
    </row>
    <row r="27" customFormat="false" ht="19.5" hidden="false" customHeight="true" outlineLevel="0" collapsed="false">
      <c r="A27" s="5" t="s">
        <v>31</v>
      </c>
      <c r="B27" s="6"/>
      <c r="C27" s="6"/>
      <c r="D27" s="6"/>
      <c r="E27" s="6"/>
    </row>
    <row r="28" customFormat="false" ht="30" hidden="false" customHeight="true" outlineLevel="0" collapsed="false">
      <c r="A28" s="19" t="s">
        <v>32</v>
      </c>
      <c r="B28" s="20" t="s">
        <v>33</v>
      </c>
      <c r="C28" s="20" t="s">
        <v>34</v>
      </c>
    </row>
    <row r="29" customFormat="false" ht="15" hidden="false" customHeight="false" outlineLevel="0" collapsed="false">
      <c r="A29" s="24"/>
      <c r="B29" s="25" t="n">
        <v>0.08</v>
      </c>
      <c r="C29" s="26" t="n">
        <f aca="false">(SUMPRODUCT(Base!$B$20:$K$20,1/(1+B29)^(Base!$B$17:$K$17-0.5))+Base!$K$20*(1+Base!$B$9)/(B29-Base!$B$9)/(1+B29)^9.5+Base!$B$12)/Base!$B$13</f>
        <v>280.038438982443</v>
      </c>
    </row>
    <row r="30" customFormat="false" ht="15" hidden="false" customHeight="false" outlineLevel="0" collapsed="false">
      <c r="A30" s="24"/>
      <c r="B30" s="25" t="n">
        <v>0.085</v>
      </c>
      <c r="C30" s="26" t="n">
        <f aca="false">(SUMPRODUCT(Base!$B$20:$K$20,1/(1+B30)^(Base!$B$17:$K$17-0.5))+Base!$K$20*(1+Base!$B$9)/(B30-Base!$B$9)/(1+B30)^9.5+Base!$B$12)/Base!$B$13</f>
        <v>250.518339740589</v>
      </c>
    </row>
    <row r="31" customFormat="false" ht="15" hidden="false" customHeight="false" outlineLevel="0" collapsed="false">
      <c r="A31" s="24"/>
      <c r="B31" s="25" t="n">
        <v>0.09</v>
      </c>
      <c r="C31" s="26" t="n">
        <f aca="false">(SUMPRODUCT(Base!$B$20:$K$20,1/(1+B31)^(Base!$B$17:$K$17-0.5))+Base!$K$20*(1+Base!$B$9)/(B31-Base!$B$9)/(1+B31)^9.5+Base!$B$12)/Base!$B$13</f>
        <v>225.939037986812</v>
      </c>
    </row>
    <row r="32" customFormat="false" ht="15" hidden="false" customHeight="false" outlineLevel="0" collapsed="false">
      <c r="A32" s="24"/>
      <c r="B32" s="25" t="n">
        <v>0.095</v>
      </c>
      <c r="C32" s="26" t="n">
        <f aca="false">(SUMPRODUCT(Base!$B$20:$K$20,1/(1+B32)^(Base!$B$17:$K$17-0.5))+Base!$K$20*(1+Base!$B$9)/(B32-Base!$B$9)/(1+B32)^9.5+Base!$B$12)/Base!$B$13</f>
        <v>205.159844275169</v>
      </c>
    </row>
    <row r="33" customFormat="false" ht="15" hidden="false" customHeight="false" outlineLevel="0" collapsed="false">
      <c r="A33" s="9" t="s">
        <v>35</v>
      </c>
    </row>
    <row r="35" customFormat="false" ht="19.5" hidden="false" customHeight="true" outlineLevel="0" collapsed="false">
      <c r="A35" s="5" t="s">
        <v>36</v>
      </c>
      <c r="B35" s="6"/>
      <c r="C35" s="6"/>
      <c r="D35" s="6"/>
      <c r="E35" s="6"/>
    </row>
    <row r="36" customFormat="false" ht="15" hidden="false" customHeight="false" outlineLevel="0" collapsed="false">
      <c r="A36" s="9" t="s">
        <v>37</v>
      </c>
    </row>
    <row r="37" customFormat="false" ht="15" hidden="false" customHeight="false" outlineLevel="0" collapsed="false">
      <c r="A37" s="9" t="s">
        <v>38</v>
      </c>
    </row>
    <row r="38" customFormat="false" ht="15" hidden="false" customHeight="false" outlineLevel="0" collapsed="false">
      <c r="A38" s="9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40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27" t="n">
        <v>2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0.06</v>
      </c>
      <c r="C8" s="9" t="s">
        <v>45</v>
      </c>
    </row>
    <row r="9" customFormat="false" ht="15" hidden="false" customHeight="false" outlineLevel="0" collapsed="false">
      <c r="A9" s="7" t="s">
        <v>46</v>
      </c>
      <c r="B9" s="16" t="n">
        <v>0.03</v>
      </c>
    </row>
    <row r="10" customFormat="false" ht="15" hidden="false" customHeight="false" outlineLevel="0" collapsed="false">
      <c r="A10" s="7" t="s">
        <v>47</v>
      </c>
      <c r="B10" s="8" t="n">
        <v>0</v>
      </c>
    </row>
    <row r="11" customFormat="false" ht="15" hidden="false" customHeight="false" outlineLevel="0" collapsed="false">
      <c r="A11" s="7" t="s">
        <v>33</v>
      </c>
      <c r="B11" s="28" t="n">
        <f aca="false">Summary!$B$17+B10</f>
        <v>0.0971767210676063</v>
      </c>
    </row>
    <row r="12" customFormat="false" ht="15" hidden="false" customHeight="false" outlineLevel="0" collapsed="false">
      <c r="A12" s="7" t="s">
        <v>48</v>
      </c>
      <c r="B12" s="27" t="n">
        <v>-25.6</v>
      </c>
      <c r="C12" s="9" t="s">
        <v>17</v>
      </c>
    </row>
    <row r="13" customFormat="false" ht="15" hidden="false" customHeight="false" outlineLevel="0" collapsed="false">
      <c r="A13" s="7" t="s">
        <v>13</v>
      </c>
      <c r="B13" s="13" t="n">
        <v>0.7906</v>
      </c>
    </row>
    <row r="15" customFormat="false" ht="19.5" hidden="false" customHeight="true" outlineLevel="0" collapsed="false">
      <c r="A15" s="5" t="s">
        <v>49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</row>
    <row r="16" customFormat="false" ht="30" hidden="false" customHeight="true" outlineLevel="0" collapsed="false">
      <c r="A16" s="19" t="s">
        <v>50</v>
      </c>
      <c r="B16" s="20" t="s">
        <v>51</v>
      </c>
      <c r="C16" s="20" t="s">
        <v>52</v>
      </c>
      <c r="D16" s="20" t="s">
        <v>53</v>
      </c>
      <c r="E16" s="20" t="s">
        <v>54</v>
      </c>
      <c r="F16" s="20" t="s">
        <v>55</v>
      </c>
      <c r="G16" s="20" t="s">
        <v>56</v>
      </c>
      <c r="H16" s="20" t="s">
        <v>57</v>
      </c>
      <c r="I16" s="20" t="s">
        <v>58</v>
      </c>
      <c r="J16" s="20" t="s">
        <v>59</v>
      </c>
      <c r="K16" s="20" t="s">
        <v>60</v>
      </c>
    </row>
    <row r="17" customFormat="false" ht="15" hidden="false" customHeight="false" outlineLevel="0" collapsed="false">
      <c r="A17" s="7" t="s">
        <v>61</v>
      </c>
      <c r="B17" s="29" t="n">
        <v>1</v>
      </c>
      <c r="C17" s="29" t="n">
        <v>2</v>
      </c>
      <c r="D17" s="29" t="n">
        <v>3</v>
      </c>
      <c r="E17" s="29" t="n">
        <v>4</v>
      </c>
      <c r="F17" s="29" t="n">
        <v>5</v>
      </c>
      <c r="G17" s="29" t="n">
        <v>6</v>
      </c>
      <c r="H17" s="29" t="n">
        <v>7</v>
      </c>
      <c r="I17" s="29" t="n">
        <v>8</v>
      </c>
      <c r="J17" s="29" t="n">
        <v>9</v>
      </c>
      <c r="K17" s="29" t="n">
        <v>10</v>
      </c>
    </row>
    <row r="18" customFormat="false" ht="15" hidden="false" customHeight="false" outlineLevel="0" collapsed="false">
      <c r="A18" s="7" t="s">
        <v>62</v>
      </c>
      <c r="B18" s="27" t="n">
        <v>2</v>
      </c>
      <c r="C18" s="27" t="n">
        <v>6</v>
      </c>
      <c r="D18" s="27" t="n">
        <v>9</v>
      </c>
      <c r="E18" s="27" t="n">
        <v>10.5</v>
      </c>
      <c r="F18" s="27" t="n">
        <v>11.5</v>
      </c>
      <c r="L18" s="9" t="s">
        <v>63</v>
      </c>
    </row>
    <row r="19" customFormat="false" ht="15" hidden="false" customHeight="false" outlineLevel="0" collapsed="false">
      <c r="A19" s="7" t="s">
        <v>64</v>
      </c>
      <c r="G19" s="23" t="n">
        <f aca="false">$B$8+($B$9-$B$8)*(G17-5)/5</f>
        <v>0.054</v>
      </c>
      <c r="H19" s="23" t="n">
        <f aca="false">$B$8+($B$9-$B$8)*(H17-5)/5</f>
        <v>0.048</v>
      </c>
      <c r="I19" s="23" t="n">
        <f aca="false">$B$8+($B$9-$B$8)*(I17-5)/5</f>
        <v>0.042</v>
      </c>
      <c r="J19" s="23" t="n">
        <f aca="false">$B$8+($B$9-$B$8)*(J17-5)/5</f>
        <v>0.036</v>
      </c>
      <c r="K19" s="23" t="n">
        <f aca="false">$B$8+($B$9-$B$8)*(K17-5)/5</f>
        <v>0.03</v>
      </c>
    </row>
    <row r="20" customFormat="false" ht="15" hidden="false" customHeight="false" outlineLevel="0" collapsed="false">
      <c r="A20" s="17" t="s">
        <v>65</v>
      </c>
      <c r="B20" s="30" t="n">
        <f aca="false">B18+$B$7</f>
        <v>4</v>
      </c>
      <c r="C20" s="30" t="n">
        <f aca="false">C18+$B$7</f>
        <v>8</v>
      </c>
      <c r="D20" s="30" t="n">
        <f aca="false">D18+$B$7</f>
        <v>11</v>
      </c>
      <c r="E20" s="30" t="n">
        <f aca="false">E18+$B$7</f>
        <v>12.5</v>
      </c>
      <c r="F20" s="30" t="n">
        <f aca="false">F18+$B$7</f>
        <v>13.5</v>
      </c>
      <c r="G20" s="30" t="n">
        <f aca="false">F20*(1+G19)</f>
        <v>14.229</v>
      </c>
      <c r="H20" s="30" t="n">
        <f aca="false">G20*(1+H19)</f>
        <v>14.911992</v>
      </c>
      <c r="I20" s="30" t="n">
        <f aca="false">H20*(1+I19)</f>
        <v>15.538295664</v>
      </c>
      <c r="J20" s="30" t="n">
        <f aca="false">I20*(1+J19)</f>
        <v>16.097674307904</v>
      </c>
      <c r="K20" s="30" t="n">
        <f aca="false">J20*(1+K19)</f>
        <v>16.5806045371411</v>
      </c>
    </row>
    <row r="21" customFormat="false" ht="15" hidden="false" customHeight="false" outlineLevel="0" collapsed="false">
      <c r="A21" s="7" t="s">
        <v>66</v>
      </c>
      <c r="B21" s="31" t="n">
        <f aca="false">1/(1+$B$11)^(B17-0.5)</f>
        <v>0.954688536399716</v>
      </c>
      <c r="C21" s="31" t="n">
        <f aca="false">1/(1+$B$11)^(C17-0.5)</f>
        <v>0.870131965132069</v>
      </c>
      <c r="D21" s="31" t="n">
        <f aca="false">1/(1+$B$11)^(D17-0.5)</f>
        <v>0.793064552340655</v>
      </c>
      <c r="E21" s="31" t="n">
        <f aca="false">1/(1+$B$11)^(E17-0.5)</f>
        <v>0.722822984768548</v>
      </c>
      <c r="F21" s="31" t="n">
        <f aca="false">1/(1+$B$11)^(F17-0.5)</f>
        <v>0.658802698680305</v>
      </c>
      <c r="G21" s="31" t="n">
        <f aca="false">1/(1+$B$11)^(G17-0.5)</f>
        <v>0.600452676428696</v>
      </c>
      <c r="H21" s="31" t="n">
        <f aca="false">1/(1+$B$11)^(H17-0.5)</f>
        <v>0.547270703888455</v>
      </c>
      <c r="I21" s="31" t="n">
        <f aca="false">1/(1+$B$11)^(I17-0.5)</f>
        <v>0.498799047938179</v>
      </c>
      <c r="J21" s="31" t="n">
        <f aca="false">1/(1+$B$11)^(J17-0.5)</f>
        <v>0.454620516786779</v>
      </c>
      <c r="K21" s="31" t="n">
        <f aca="false">1/(1+$B$11)^(K17-0.5)</f>
        <v>0.414354869236026</v>
      </c>
    </row>
    <row r="22" customFormat="false" ht="15" hidden="false" customHeight="false" outlineLevel="0" collapsed="false">
      <c r="A22" s="7" t="s">
        <v>67</v>
      </c>
      <c r="B22" s="32" t="n">
        <f aca="false">B20*B21</f>
        <v>3.81875414559887</v>
      </c>
      <c r="C22" s="32" t="n">
        <f aca="false">C20*C21</f>
        <v>6.96105572105655</v>
      </c>
      <c r="D22" s="32" t="n">
        <f aca="false">D20*D21</f>
        <v>8.72371007574721</v>
      </c>
      <c r="E22" s="32" t="n">
        <f aca="false">E20*E21</f>
        <v>9.03528730960685</v>
      </c>
      <c r="F22" s="32" t="n">
        <f aca="false">F20*F21</f>
        <v>8.89383643218412</v>
      </c>
      <c r="G22" s="32" t="n">
        <f aca="false">G20*G21</f>
        <v>8.54384113290392</v>
      </c>
      <c r="H22" s="32" t="n">
        <f aca="false">H20*H21</f>
        <v>8.16089635821902</v>
      </c>
      <c r="I22" s="32" t="n">
        <f aca="false">I20*I21</f>
        <v>7.75048708378514</v>
      </c>
      <c r="J22" s="32" t="n">
        <f aca="false">J20*J21</f>
        <v>7.31833301292458</v>
      </c>
      <c r="K22" s="32" t="n">
        <f aca="false">K20*K21</f>
        <v>6.87025422484136</v>
      </c>
    </row>
    <row r="24" customFormat="false" ht="19.5" hidden="false" customHeight="true" outlineLevel="0" collapsed="false">
      <c r="A24" s="5" t="s">
        <v>68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</row>
    <row r="25" customFormat="false" ht="15" hidden="false" customHeight="false" outlineLevel="0" collapsed="false">
      <c r="A25" s="7" t="s">
        <v>69</v>
      </c>
      <c r="B25" s="32" t="n">
        <f aca="false">SUM(B22:K22)</f>
        <v>76.0764554968676</v>
      </c>
    </row>
    <row r="26" customFormat="false" ht="15" hidden="false" customHeight="false" outlineLevel="0" collapsed="false">
      <c r="A26" s="7" t="s">
        <v>70</v>
      </c>
      <c r="B26" s="32" t="n">
        <f aca="false">K20*(1+$B$9)/($B$11-$B$9)</f>
        <v>254.22530903329</v>
      </c>
      <c r="C26" s="9" t="s">
        <v>71</v>
      </c>
    </row>
    <row r="27" customFormat="false" ht="15" hidden="false" customHeight="false" outlineLevel="0" collapsed="false">
      <c r="A27" s="7" t="s">
        <v>72</v>
      </c>
      <c r="B27" s="32" t="n">
        <f aca="false">B26/(1+$B$11)^9.5</f>
        <v>105.339494680977</v>
      </c>
    </row>
    <row r="28" customFormat="false" ht="15" hidden="false" customHeight="false" outlineLevel="0" collapsed="false">
      <c r="A28" s="7" t="s">
        <v>73</v>
      </c>
      <c r="B28" s="32" t="n">
        <f aca="false">B25+B27</f>
        <v>181.415950177845</v>
      </c>
    </row>
    <row r="29" customFormat="false" ht="15" hidden="false" customHeight="false" outlineLevel="0" collapsed="false">
      <c r="A29" s="7" t="s">
        <v>74</v>
      </c>
      <c r="B29" s="32" t="n">
        <f aca="false">B28+$B$12</f>
        <v>155.815950177845</v>
      </c>
    </row>
    <row r="30" customFormat="false" ht="15" hidden="false" customHeight="false" outlineLevel="0" collapsed="false">
      <c r="A30" s="17" t="s">
        <v>34</v>
      </c>
      <c r="B30" s="22" t="n">
        <f aca="false">B29/$B$13</f>
        <v>197.085694634259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75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27" t="n">
        <v>2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0.06</v>
      </c>
      <c r="C8" s="9" t="s">
        <v>45</v>
      </c>
    </row>
    <row r="9" customFormat="false" ht="15" hidden="false" customHeight="false" outlineLevel="0" collapsed="false">
      <c r="A9" s="7" t="s">
        <v>46</v>
      </c>
      <c r="B9" s="16" t="n">
        <v>0.03</v>
      </c>
    </row>
    <row r="10" customFormat="false" ht="15" hidden="false" customHeight="false" outlineLevel="0" collapsed="false">
      <c r="A10" s="7" t="s">
        <v>47</v>
      </c>
      <c r="B10" s="8" t="n">
        <v>0.01</v>
      </c>
    </row>
    <row r="11" customFormat="false" ht="15" hidden="false" customHeight="false" outlineLevel="0" collapsed="false">
      <c r="A11" s="7" t="s">
        <v>33</v>
      </c>
      <c r="B11" s="28" t="n">
        <f aca="false">Summary!$B$17+B10</f>
        <v>0.107176721067606</v>
      </c>
    </row>
    <row r="12" customFormat="false" ht="15" hidden="false" customHeight="false" outlineLevel="0" collapsed="false">
      <c r="A12" s="7" t="s">
        <v>48</v>
      </c>
      <c r="B12" s="27" t="n">
        <v>-25.6</v>
      </c>
      <c r="C12" s="9" t="s">
        <v>17</v>
      </c>
    </row>
    <row r="13" customFormat="false" ht="15" hidden="false" customHeight="false" outlineLevel="0" collapsed="false">
      <c r="A13" s="7" t="s">
        <v>13</v>
      </c>
      <c r="B13" s="13" t="n">
        <v>0.7906</v>
      </c>
    </row>
    <row r="15" customFormat="false" ht="19.5" hidden="false" customHeight="true" outlineLevel="0" collapsed="false">
      <c r="A15" s="5" t="s">
        <v>49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</row>
    <row r="16" customFormat="false" ht="30" hidden="false" customHeight="true" outlineLevel="0" collapsed="false">
      <c r="A16" s="19" t="s">
        <v>50</v>
      </c>
      <c r="B16" s="20" t="s">
        <v>51</v>
      </c>
      <c r="C16" s="20" t="s">
        <v>52</v>
      </c>
      <c r="D16" s="20" t="s">
        <v>53</v>
      </c>
      <c r="E16" s="20" t="s">
        <v>54</v>
      </c>
      <c r="F16" s="20" t="s">
        <v>55</v>
      </c>
      <c r="G16" s="20" t="s">
        <v>56</v>
      </c>
      <c r="H16" s="20" t="s">
        <v>57</v>
      </c>
      <c r="I16" s="20" t="s">
        <v>58</v>
      </c>
      <c r="J16" s="20" t="s">
        <v>59</v>
      </c>
      <c r="K16" s="20" t="s">
        <v>60</v>
      </c>
    </row>
    <row r="17" customFormat="false" ht="15" hidden="false" customHeight="false" outlineLevel="0" collapsed="false">
      <c r="A17" s="7" t="s">
        <v>61</v>
      </c>
      <c r="B17" s="29" t="n">
        <v>1</v>
      </c>
      <c r="C17" s="29" t="n">
        <v>2</v>
      </c>
      <c r="D17" s="29" t="n">
        <v>3</v>
      </c>
      <c r="E17" s="29" t="n">
        <v>4</v>
      </c>
      <c r="F17" s="29" t="n">
        <v>5</v>
      </c>
      <c r="G17" s="29" t="n">
        <v>6</v>
      </c>
      <c r="H17" s="29" t="n">
        <v>7</v>
      </c>
      <c r="I17" s="29" t="n">
        <v>8</v>
      </c>
      <c r="J17" s="29" t="n">
        <v>9</v>
      </c>
      <c r="K17" s="29" t="n">
        <v>10</v>
      </c>
    </row>
    <row r="18" customFormat="false" ht="15" hidden="false" customHeight="false" outlineLevel="0" collapsed="false">
      <c r="A18" s="7" t="s">
        <v>62</v>
      </c>
      <c r="B18" s="27" t="n">
        <v>0.5</v>
      </c>
      <c r="C18" s="27" t="n">
        <v>3</v>
      </c>
      <c r="D18" s="27" t="n">
        <v>5</v>
      </c>
      <c r="E18" s="27" t="n">
        <v>6.5</v>
      </c>
      <c r="F18" s="27" t="n">
        <v>7.5</v>
      </c>
      <c r="L18" s="9" t="s">
        <v>63</v>
      </c>
    </row>
    <row r="19" customFormat="false" ht="15" hidden="false" customHeight="false" outlineLevel="0" collapsed="false">
      <c r="A19" s="7" t="s">
        <v>64</v>
      </c>
      <c r="G19" s="23" t="n">
        <f aca="false">$B$8+($B$9-$B$8)*(G17-5)/5</f>
        <v>0.054</v>
      </c>
      <c r="H19" s="23" t="n">
        <f aca="false">$B$8+($B$9-$B$8)*(H17-5)/5</f>
        <v>0.048</v>
      </c>
      <c r="I19" s="23" t="n">
        <f aca="false">$B$8+($B$9-$B$8)*(I17-5)/5</f>
        <v>0.042</v>
      </c>
      <c r="J19" s="23" t="n">
        <f aca="false">$B$8+($B$9-$B$8)*(J17-5)/5</f>
        <v>0.036</v>
      </c>
      <c r="K19" s="23" t="n">
        <f aca="false">$B$8+($B$9-$B$8)*(K17-5)/5</f>
        <v>0.03</v>
      </c>
    </row>
    <row r="20" customFormat="false" ht="15" hidden="false" customHeight="false" outlineLevel="0" collapsed="false">
      <c r="A20" s="17" t="s">
        <v>65</v>
      </c>
      <c r="B20" s="30" t="n">
        <f aca="false">B18+$B$7</f>
        <v>2.5</v>
      </c>
      <c r="C20" s="30" t="n">
        <f aca="false">C18+$B$7</f>
        <v>5</v>
      </c>
      <c r="D20" s="30" t="n">
        <f aca="false">D18+$B$7</f>
        <v>7</v>
      </c>
      <c r="E20" s="30" t="n">
        <f aca="false">E18+$B$7</f>
        <v>8.5</v>
      </c>
      <c r="F20" s="30" t="n">
        <f aca="false">F18+$B$7</f>
        <v>9.5</v>
      </c>
      <c r="G20" s="30" t="n">
        <f aca="false">F20*(1+G19)</f>
        <v>10.013</v>
      </c>
      <c r="H20" s="30" t="n">
        <f aca="false">G20*(1+H19)</f>
        <v>10.493624</v>
      </c>
      <c r="I20" s="30" t="n">
        <f aca="false">H20*(1+I19)</f>
        <v>10.934356208</v>
      </c>
      <c r="J20" s="30" t="n">
        <f aca="false">I20*(1+J19)</f>
        <v>11.327993031488</v>
      </c>
      <c r="K20" s="30" t="n">
        <f aca="false">J20*(1+K19)</f>
        <v>11.6678328224326</v>
      </c>
    </row>
    <row r="21" customFormat="false" ht="15" hidden="false" customHeight="false" outlineLevel="0" collapsed="false">
      <c r="A21" s="7" t="s">
        <v>66</v>
      </c>
      <c r="B21" s="31" t="n">
        <f aca="false">1/(1+$B$11)^(B17-0.5)</f>
        <v>0.950367392399345</v>
      </c>
      <c r="C21" s="31" t="n">
        <f aca="false">1/(1+$B$11)^(C17-0.5)</f>
        <v>0.858370099655766</v>
      </c>
      <c r="D21" s="31" t="n">
        <f aca="false">1/(1+$B$11)^(D17-0.5)</f>
        <v>0.775278312235534</v>
      </c>
      <c r="E21" s="31" t="n">
        <f aca="false">1/(1+$B$11)^(E17-0.5)</f>
        <v>0.700229961020101</v>
      </c>
      <c r="F21" s="31" t="n">
        <f aca="false">1/(1+$B$11)^(F17-0.5)</f>
        <v>0.632446426750101</v>
      </c>
      <c r="G21" s="31" t="n">
        <f aca="false">1/(1+$B$11)^(G17-0.5)</f>
        <v>0.571224461927143</v>
      </c>
      <c r="H21" s="31" t="n">
        <f aca="false">1/(1+$B$11)^(H17-0.5)</f>
        <v>0.515928894690212</v>
      </c>
      <c r="I21" s="31" t="n">
        <f aca="false">1/(1+$B$11)^(I17-0.5)</f>
        <v>0.465986038970113</v>
      </c>
      <c r="J21" s="31" t="n">
        <f aca="false">1/(1+$B$11)^(J17-0.5)</f>
        <v>0.420877742552952</v>
      </c>
      <c r="K21" s="31" t="n">
        <f aca="false">1/(1+$B$11)^(K17-0.5)</f>
        <v>0.380136011301896</v>
      </c>
    </row>
    <row r="22" customFormat="false" ht="15" hidden="false" customHeight="false" outlineLevel="0" collapsed="false">
      <c r="A22" s="7" t="s">
        <v>67</v>
      </c>
      <c r="B22" s="32" t="n">
        <f aca="false">B20*B21</f>
        <v>2.37591848099836</v>
      </c>
      <c r="C22" s="32" t="n">
        <f aca="false">C20*C21</f>
        <v>4.29185049827883</v>
      </c>
      <c r="D22" s="32" t="n">
        <f aca="false">D20*D21</f>
        <v>5.42694818564874</v>
      </c>
      <c r="E22" s="32" t="n">
        <f aca="false">E20*E21</f>
        <v>5.95195466867086</v>
      </c>
      <c r="F22" s="32" t="n">
        <f aca="false">F20*F21</f>
        <v>6.00824105412596</v>
      </c>
      <c r="G22" s="32" t="n">
        <f aca="false">G20*G21</f>
        <v>5.71967053727648</v>
      </c>
      <c r="H22" s="32" t="n">
        <f aca="false">H20*H21</f>
        <v>5.41396383161468</v>
      </c>
      <c r="I22" s="32" t="n">
        <f aca="false">I20*I21</f>
        <v>5.09525733805419</v>
      </c>
      <c r="J22" s="32" t="n">
        <f aca="false">J20*J21</f>
        <v>4.76770013474824</v>
      </c>
      <c r="K22" s="32" t="n">
        <f aca="false">K20*K21</f>
        <v>4.43536342965689</v>
      </c>
    </row>
    <row r="24" customFormat="false" ht="19.5" hidden="false" customHeight="true" outlineLevel="0" collapsed="false">
      <c r="A24" s="5" t="s">
        <v>68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</row>
    <row r="25" customFormat="false" ht="15" hidden="false" customHeight="false" outlineLevel="0" collapsed="false">
      <c r="A25" s="7" t="s">
        <v>69</v>
      </c>
      <c r="B25" s="32" t="n">
        <f aca="false">SUM(B22:K22)</f>
        <v>49.4868681590732</v>
      </c>
    </row>
    <row r="26" customFormat="false" ht="15" hidden="false" customHeight="false" outlineLevel="0" collapsed="false">
      <c r="A26" s="7" t="s">
        <v>70</v>
      </c>
      <c r="B26" s="32" t="n">
        <f aca="false">K20*(1+$B$9)/($B$11-$B$9)</f>
        <v>155.718818328367</v>
      </c>
      <c r="C26" s="9" t="s">
        <v>71</v>
      </c>
    </row>
    <row r="27" customFormat="false" ht="15" hidden="false" customHeight="false" outlineLevel="0" collapsed="false">
      <c r="A27" s="7" t="s">
        <v>72</v>
      </c>
      <c r="B27" s="32" t="n">
        <f aca="false">B26/(1+$B$11)^9.5</f>
        <v>59.1943304839899</v>
      </c>
    </row>
    <row r="28" customFormat="false" ht="15" hidden="false" customHeight="false" outlineLevel="0" collapsed="false">
      <c r="A28" s="7" t="s">
        <v>73</v>
      </c>
      <c r="B28" s="32" t="n">
        <f aca="false">B25+B27</f>
        <v>108.681198643063</v>
      </c>
    </row>
    <row r="29" customFormat="false" ht="15" hidden="false" customHeight="false" outlineLevel="0" collapsed="false">
      <c r="A29" s="7" t="s">
        <v>74</v>
      </c>
      <c r="B29" s="32" t="n">
        <f aca="false">B28+$B$12</f>
        <v>83.0811986430632</v>
      </c>
    </row>
    <row r="30" customFormat="false" ht="15" hidden="false" customHeight="false" outlineLevel="0" collapsed="false">
      <c r="A30" s="17" t="s">
        <v>34</v>
      </c>
      <c r="B30" s="22" t="n">
        <f aca="false">B29/$B$13</f>
        <v>105.08626188093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76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27" t="n">
        <v>2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0.06</v>
      </c>
      <c r="C8" s="9" t="s">
        <v>45</v>
      </c>
    </row>
    <row r="9" customFormat="false" ht="15" hidden="false" customHeight="false" outlineLevel="0" collapsed="false">
      <c r="A9" s="7" t="s">
        <v>46</v>
      </c>
      <c r="B9" s="16" t="n">
        <v>0.03</v>
      </c>
    </row>
    <row r="10" customFormat="false" ht="15" hidden="false" customHeight="false" outlineLevel="0" collapsed="false">
      <c r="A10" s="7" t="s">
        <v>47</v>
      </c>
      <c r="B10" s="8" t="n">
        <v>-0.01</v>
      </c>
    </row>
    <row r="11" customFormat="false" ht="15" hidden="false" customHeight="false" outlineLevel="0" collapsed="false">
      <c r="A11" s="7" t="s">
        <v>33</v>
      </c>
      <c r="B11" s="28" t="n">
        <f aca="false">Summary!$B$17+B10</f>
        <v>0.0871767210676063</v>
      </c>
    </row>
    <row r="12" customFormat="false" ht="15" hidden="false" customHeight="false" outlineLevel="0" collapsed="false">
      <c r="A12" s="7" t="s">
        <v>48</v>
      </c>
      <c r="B12" s="27" t="n">
        <v>-25.6</v>
      </c>
      <c r="C12" s="9" t="s">
        <v>17</v>
      </c>
    </row>
    <row r="13" customFormat="false" ht="15" hidden="false" customHeight="false" outlineLevel="0" collapsed="false">
      <c r="A13" s="7" t="s">
        <v>13</v>
      </c>
      <c r="B13" s="13" t="n">
        <v>0.7906</v>
      </c>
    </row>
    <row r="15" customFormat="false" ht="19.5" hidden="false" customHeight="true" outlineLevel="0" collapsed="false">
      <c r="A15" s="5" t="s">
        <v>49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</row>
    <row r="16" customFormat="false" ht="30" hidden="false" customHeight="true" outlineLevel="0" collapsed="false">
      <c r="A16" s="19" t="s">
        <v>50</v>
      </c>
      <c r="B16" s="20" t="s">
        <v>51</v>
      </c>
      <c r="C16" s="20" t="s">
        <v>52</v>
      </c>
      <c r="D16" s="20" t="s">
        <v>53</v>
      </c>
      <c r="E16" s="20" t="s">
        <v>54</v>
      </c>
      <c r="F16" s="20" t="s">
        <v>55</v>
      </c>
      <c r="G16" s="20" t="s">
        <v>56</v>
      </c>
      <c r="H16" s="20" t="s">
        <v>57</v>
      </c>
      <c r="I16" s="20" t="s">
        <v>58</v>
      </c>
      <c r="J16" s="20" t="s">
        <v>59</v>
      </c>
      <c r="K16" s="20" t="s">
        <v>60</v>
      </c>
    </row>
    <row r="17" customFormat="false" ht="15" hidden="false" customHeight="false" outlineLevel="0" collapsed="false">
      <c r="A17" s="7" t="s">
        <v>61</v>
      </c>
      <c r="B17" s="29" t="n">
        <v>1</v>
      </c>
      <c r="C17" s="29" t="n">
        <v>2</v>
      </c>
      <c r="D17" s="29" t="n">
        <v>3</v>
      </c>
      <c r="E17" s="29" t="n">
        <v>4</v>
      </c>
      <c r="F17" s="29" t="n">
        <v>5</v>
      </c>
      <c r="G17" s="29" t="n">
        <v>6</v>
      </c>
      <c r="H17" s="29" t="n">
        <v>7</v>
      </c>
      <c r="I17" s="29" t="n">
        <v>8</v>
      </c>
      <c r="J17" s="29" t="n">
        <v>9</v>
      </c>
      <c r="K17" s="29" t="n">
        <v>10</v>
      </c>
    </row>
    <row r="18" customFormat="false" ht="15" hidden="false" customHeight="false" outlineLevel="0" collapsed="false">
      <c r="A18" s="7" t="s">
        <v>62</v>
      </c>
      <c r="B18" s="27" t="n">
        <v>3</v>
      </c>
      <c r="C18" s="27" t="n">
        <v>8</v>
      </c>
      <c r="D18" s="27" t="n">
        <v>11</v>
      </c>
      <c r="E18" s="27" t="n">
        <v>13</v>
      </c>
      <c r="F18" s="27" t="n">
        <v>14</v>
      </c>
      <c r="L18" s="9" t="s">
        <v>63</v>
      </c>
    </row>
    <row r="19" customFormat="false" ht="15" hidden="false" customHeight="false" outlineLevel="0" collapsed="false">
      <c r="A19" s="7" t="s">
        <v>64</v>
      </c>
      <c r="G19" s="23" t="n">
        <f aca="false">$B$8+($B$9-$B$8)*(G17-5)/5</f>
        <v>0.054</v>
      </c>
      <c r="H19" s="23" t="n">
        <f aca="false">$B$8+($B$9-$B$8)*(H17-5)/5</f>
        <v>0.048</v>
      </c>
      <c r="I19" s="23" t="n">
        <f aca="false">$B$8+($B$9-$B$8)*(I17-5)/5</f>
        <v>0.042</v>
      </c>
      <c r="J19" s="23" t="n">
        <f aca="false">$B$8+($B$9-$B$8)*(J17-5)/5</f>
        <v>0.036</v>
      </c>
      <c r="K19" s="23" t="n">
        <f aca="false">$B$8+($B$9-$B$8)*(K17-5)/5</f>
        <v>0.03</v>
      </c>
    </row>
    <row r="20" customFormat="false" ht="15" hidden="false" customHeight="false" outlineLevel="0" collapsed="false">
      <c r="A20" s="17" t="s">
        <v>65</v>
      </c>
      <c r="B20" s="30" t="n">
        <f aca="false">B18+$B$7</f>
        <v>5</v>
      </c>
      <c r="C20" s="30" t="n">
        <f aca="false">C18+$B$7</f>
        <v>10</v>
      </c>
      <c r="D20" s="30" t="n">
        <f aca="false">D18+$B$7</f>
        <v>13</v>
      </c>
      <c r="E20" s="30" t="n">
        <f aca="false">E18+$B$7</f>
        <v>15</v>
      </c>
      <c r="F20" s="30" t="n">
        <f aca="false">F18+$B$7</f>
        <v>16</v>
      </c>
      <c r="G20" s="30" t="n">
        <f aca="false">F20*(1+G19)</f>
        <v>16.864</v>
      </c>
      <c r="H20" s="30" t="n">
        <f aca="false">G20*(1+H19)</f>
        <v>17.673472</v>
      </c>
      <c r="I20" s="30" t="n">
        <f aca="false">H20*(1+I19)</f>
        <v>18.415757824</v>
      </c>
      <c r="J20" s="30" t="n">
        <f aca="false">I20*(1+J19)</f>
        <v>19.078725105664</v>
      </c>
      <c r="K20" s="30" t="n">
        <f aca="false">J20*(1+K19)</f>
        <v>19.6510868588339</v>
      </c>
    </row>
    <row r="21" customFormat="false" ht="15" hidden="false" customHeight="false" outlineLevel="0" collapsed="false">
      <c r="A21" s="7" t="s">
        <v>66</v>
      </c>
      <c r="B21" s="31" t="n">
        <f aca="false">1/(1+$B$11)^(B17-0.5)</f>
        <v>0.959069163844587</v>
      </c>
      <c r="C21" s="31" t="n">
        <f aca="false">1/(1+$B$11)^(C17-0.5)</f>
        <v>0.882164918784117</v>
      </c>
      <c r="D21" s="31" t="n">
        <f aca="false">1/(1+$B$11)^(D17-0.5)</f>
        <v>0.811427343585716</v>
      </c>
      <c r="E21" s="31" t="n">
        <f aca="false">1/(1+$B$11)^(E17-0.5)</f>
        <v>0.746361955569556</v>
      </c>
      <c r="F21" s="31" t="n">
        <f aca="false">1/(1+$B$11)^(F17-0.5)</f>
        <v>0.686513922811582</v>
      </c>
      <c r="G21" s="31" t="n">
        <f aca="false">1/(1+$B$11)^(G17-0.5)</f>
        <v>0.631464884694575</v>
      </c>
      <c r="H21" s="31" t="n">
        <f aca="false">1/(1+$B$11)^(H17-0.5)</f>
        <v>0.580830027407575</v>
      </c>
      <c r="I21" s="31" t="n">
        <f aca="false">1/(1+$B$11)^(I17-0.5)</f>
        <v>0.534255393950305</v>
      </c>
      <c r="J21" s="31" t="n">
        <f aca="false">1/(1+$B$11)^(J17-0.5)</f>
        <v>0.491415409838492</v>
      </c>
      <c r="K21" s="31" t="n">
        <f aca="false">1/(1+$B$11)^(K17-0.5)</f>
        <v>0.452010607213814</v>
      </c>
    </row>
    <row r="22" customFormat="false" ht="15" hidden="false" customHeight="false" outlineLevel="0" collapsed="false">
      <c r="A22" s="7" t="s">
        <v>67</v>
      </c>
      <c r="B22" s="32" t="n">
        <f aca="false">B20*B21</f>
        <v>4.79534581922294</v>
      </c>
      <c r="C22" s="32" t="n">
        <f aca="false">C20*C21</f>
        <v>8.82164918784117</v>
      </c>
      <c r="D22" s="32" t="n">
        <f aca="false">D20*D21</f>
        <v>10.5485554666143</v>
      </c>
      <c r="E22" s="32" t="n">
        <f aca="false">E20*E21</f>
        <v>11.1954293335433</v>
      </c>
      <c r="F22" s="32" t="n">
        <f aca="false">F20*F21</f>
        <v>10.9842227649853</v>
      </c>
      <c r="G22" s="32" t="n">
        <f aca="false">G20*G21</f>
        <v>10.6490238154893</v>
      </c>
      <c r="H22" s="32" t="n">
        <f aca="false">H20*H21</f>
        <v>10.265283226147</v>
      </c>
      <c r="I22" s="32" t="n">
        <f aca="false">I20*I21</f>
        <v>9.83871795115453</v>
      </c>
      <c r="J22" s="32" t="n">
        <f aca="false">J20*J21</f>
        <v>9.37557951699579</v>
      </c>
      <c r="K22" s="32" t="n">
        <f aca="false">K20*K21</f>
        <v>8.88249970347291</v>
      </c>
    </row>
    <row r="24" customFormat="false" ht="19.5" hidden="false" customHeight="true" outlineLevel="0" collapsed="false">
      <c r="A24" s="5" t="s">
        <v>68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</row>
    <row r="25" customFormat="false" ht="15" hidden="false" customHeight="false" outlineLevel="0" collapsed="false">
      <c r="A25" s="7" t="s">
        <v>69</v>
      </c>
      <c r="B25" s="32" t="n">
        <f aca="false">SUM(B22:K22)</f>
        <v>95.3563067854666</v>
      </c>
    </row>
    <row r="26" customFormat="false" ht="15" hidden="false" customHeight="false" outlineLevel="0" collapsed="false">
      <c r="A26" s="7" t="s">
        <v>70</v>
      </c>
      <c r="B26" s="32" t="n">
        <f aca="false">K20*(1+$B$9)/($B$11-$B$9)</f>
        <v>354.001052992637</v>
      </c>
      <c r="C26" s="9" t="s">
        <v>71</v>
      </c>
    </row>
    <row r="27" customFormat="false" ht="15" hidden="false" customHeight="false" outlineLevel="0" collapsed="false">
      <c r="A27" s="7" t="s">
        <v>72</v>
      </c>
      <c r="B27" s="32" t="n">
        <f aca="false">B26/(1+$B$11)^9.5</f>
        <v>160.012230917531</v>
      </c>
    </row>
    <row r="28" customFormat="false" ht="15" hidden="false" customHeight="false" outlineLevel="0" collapsed="false">
      <c r="A28" s="7" t="s">
        <v>73</v>
      </c>
      <c r="B28" s="32" t="n">
        <f aca="false">B25+B27</f>
        <v>255.368537702998</v>
      </c>
    </row>
    <row r="29" customFormat="false" ht="15" hidden="false" customHeight="false" outlineLevel="0" collapsed="false">
      <c r="A29" s="7" t="s">
        <v>74</v>
      </c>
      <c r="B29" s="32" t="n">
        <f aca="false">B28+$B$12</f>
        <v>229.768537702998</v>
      </c>
    </row>
    <row r="30" customFormat="false" ht="15" hidden="false" customHeight="false" outlineLevel="0" collapsed="false">
      <c r="A30" s="17" t="s">
        <v>34</v>
      </c>
      <c r="B30" s="22" t="n">
        <f aca="false">B29/$B$13</f>
        <v>290.625522012393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2026-10-22T20:41:11Z</dcterms:created>
  <dc:creator>LDB Finance</dc:creator>
  <dc:description/>
  <dc:language>en-US</dc:language>
  <cp:lastModifiedBy/>
  <dcterms:modified xsi:type="dcterms:W3CDTF">2026-10-22T20:41:11Z</dcterms:modified>
  <cp:revision>0</cp:revision>
  <dc:subject/>
  <dc:title>Boeing (BA)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