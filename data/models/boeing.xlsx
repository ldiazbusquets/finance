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<sst xmlns="http://schemas.openxmlformats.org/spreadsheetml/2006/main" count="163" uniqueCount="77">
  <si>
    <t xml:space="preserve">LDB FINANCE</t>
  </si>
  <si>
    <t xml:space="preserve">Boeing (BA)</t>
  </si>
  <si>
    <t xml:space="preserve">Ten-year discounted free cash flow to the firm as production recovers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</si>
  <si>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</si>
  <si>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</si>
  <si>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</si>
  <si>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</si>
  <si>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</si>
  <si>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</si>
  <si>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</si>
  <si>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</si>
  <si>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</si>
  <si>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</si>
  <si>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</si>
  <si>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</si>
  <si>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</si>
  <si>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</si>
  <si>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</si>
  <si>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</si>
  <si>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</si>
  <si>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</si>
  <si>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</si>
  <si>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</si>
  <si>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</si>
  <si>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</si>
  <si>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</si>
  <si>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</si>
  <si>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</si>
  <si>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</si>
  <si>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</si>
  <si>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</si>
  <si>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</si>
  <si>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</si>
  <si>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</si>
  <si>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</si>
  <si>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</si>
  <si>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</si>
  <si>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</si>
  <si>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https://github.com/ldiazbusquets/finance/blob/main/_source/models/ba.py, and checked against it each time the file is made.</t>
  </si>
  <si>
    <t xml:space="preserve">For education only. Not investment advice.</t>
  </si>
  <si>
    <t xml:space="preserve">Base case: free cash flow back to normal, $ billions</t>
  </si>
  <si>
    <t xml:space="preserve">INPUTS</t>
  </si>
  <si>
    <t xml:space="preserve">After-tax interest added back ($B a year)</t>
  </si>
  <si>
    <t xml:space="preserve">Turns free cash flow into cash flow to the firm</t>
  </si>
  <si>
    <t xml:space="preserve">Growth in year 6</t>
  </si>
  <si>
    <t xml:space="preserve">Fades in a straight line to terminal growth by year 10</t>
  </si>
  <si>
    <t xml:space="preserve">Terminal growth</t>
  </si>
  <si>
    <t xml:space="preserve">Discount rate shift for this case</t>
  </si>
  <si>
    <t xml:space="preserve">Net debt ($B)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</si>
  <si>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</si>
  <si>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</si>
  <si>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</si>
  <si>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</si>
  <si>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</si>
  <si>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</si>
  <si>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</si>
  <si>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</si>
  <si>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</si>
  <si>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</si>
  <si>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</si>
  <si>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</si>
  <si>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</si>
  <si>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Free cash flow path ($B)</t>
  </si>
  <si>
    <t xml:space="preserve">Years 1-5: the production recovery</t>
  </si>
  <si>
    <t xml:space="preserve">Growth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</si>
  <si>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</si>
  <si>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</si>
  <si>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</si>
  <si>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</si>
  <si>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</si>
  <si>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</si>
  <si>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</si>
  <si>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</si>
  <si>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</si>
  <si>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</si>
  <si>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back to normal, $ billions</t>
  </si>
  <si>
    <t xml:space="preserve">Bull case: free cash flow back to normal,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</si>
</sst>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1.35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0.11225</v>
      </c>
    </row>
    <row r="11" customFormat="false" ht="15" hidden="false" customHeight="false" outlineLevel="0" collapsed="false">
      <c r="A11" s="7" t="s">
        <v>11</v>
      </c>
      <c r="B11" s="12" t="n">
        <v>190.47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0.7906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150.585582</v>
      </c>
    </row>
    <row r="14" customFormat="false" ht="15" hidden="false" customHeight="false" outlineLevel="0" collapsed="false">
      <c r="A14" s="7" t="s">
        <v>16</v>
      </c>
      <c r="B14" s="15" t="n">
        <v>45.6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0.06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0.0971767210676063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Bear!$B$30</f>
        <v>105.08626188093</v>
      </c>
      <c r="C21" s="21" t="n">
        <f aca="false">Base!$B$30</f>
        <v>197.085694634259</v>
      </c>
      <c r="D21" s="21" t="n">
        <f aca="false">Bull!$B$30</f>
        <v>290.625522012393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197.47079329046</v>
      </c>
    </row>
    <row r="24" customFormat="false" ht="15" hidden="false" customHeight="false" outlineLevel="0" collapsed="false">
      <c r="A24" s="7" t="s">
        <v>29</v>
      </c>
      <c r="C24" s="12" t="n">
        <v>190.47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0.0367553593240937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</v>
      </c>
      <c r="C29" s="26" t="n">
        <f aca="false">(SUMPRODUCT(Base!$B$20:$K$20,1/(1+B29)^(Base!$B$17:$K$17-0.5))+Base!$K$20*(1+Base!$B$9)/(B29-Base!$B$9)/(1+B29)^9.5+Base!$B$12)/Base!$B$13</f>
        <v>280.038438982443</v>
      </c>
    </row>
    <row r="30" customFormat="false" ht="15" hidden="false" customHeight="false" outlineLevel="0" collapsed="false">
      <c r="A30" s="24"/>
      <c r="B30" s="25" t="n">
        <v>0.085</v>
      </c>
      <c r="C30" s="26" t="n">
        <f aca="false">(SUMPRODUCT(Base!$B$20:$K$20,1/(1+B30)^(Base!$B$17:$K$17-0.5))+Base!$K$20*(1+Base!$B$9)/(B30-Base!$B$9)/(1+B30)^9.5+Base!$B$12)/Base!$B$13</f>
        <v>250.518339740589</v>
      </c>
    </row>
    <row r="31" customFormat="false" ht="15" hidden="false" customHeight="false" outlineLevel="0" collapsed="false">
      <c r="A31" s="24"/>
      <c r="B31" s="25" t="n">
        <v>0.09</v>
      </c>
      <c r="C31" s="26" t="n">
        <f aca="false">(SUMPRODUCT(Base!$B$20:$K$20,1/(1+B31)^(Base!$B$17:$K$17-0.5))+Base!$K$20*(1+Base!$B$9)/(B31-Base!$B$9)/(1+B31)^9.5+Base!$B$12)/Base!$B$13</f>
        <v>225.939037986812</v>
      </c>
    </row>
    <row r="32" customFormat="false" ht="15" hidden="false" customHeight="false" outlineLevel="0" collapsed="false">
      <c r="A32" s="24"/>
      <c r="B32" s="25" t="n">
        <v>0.095</v>
      </c>
      <c r="C32" s="26" t="n">
        <f aca="false">(SUMPRODUCT(Base!$B$20:$K$20,1/(1+B32)^(Base!$B$17:$K$17-0.5))+Base!$K$20*(1+Base!$B$9)/(B32-Base!$B$9)/(1+B32)^9.5+Base!$B$12)/Base!$B$13</f>
        <v>205.159844275169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0.0971767210676063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2</v>
      </c>
      <c r="C18" s="27" t="n">
        <v>6</v>
      </c>
      <c r="D18" s="27" t="n">
        <v>9</v>
      </c>
      <c r="E18" s="27" t="n">
        <v>10.5</v>
      </c>
      <c r="F18" s="27" t="n">
        <v>11.5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4</v>
      </c>
      <c r="C20" s="30" t="n">
        <f aca="false">C18+$B$7</f>
        <v>8</v>
      </c>
      <c r="D20" s="30" t="n">
        <f aca="false">D18+$B$7</f>
        <v>11</v>
      </c>
      <c r="E20" s="30" t="n">
        <f aca="false">E18+$B$7</f>
        <v>12.5</v>
      </c>
      <c r="F20" s="30" t="n">
        <f aca="false">F18+$B$7</f>
        <v>13.5</v>
      </c>
      <c r="G20" s="30" t="n">
        <f aca="false">F20*(1+G19)</f>
        <v>14.229</v>
      </c>
      <c r="H20" s="30" t="n">
        <f aca="false">G20*(1+H19)</f>
        <v>14.911992</v>
      </c>
      <c r="I20" s="30" t="n">
        <f aca="false">H20*(1+I19)</f>
        <v>15.538295664</v>
      </c>
      <c r="J20" s="30" t="n">
        <f aca="false">I20*(1+J19)</f>
        <v>16.097674307904</v>
      </c>
      <c r="K20" s="30" t="n">
        <f aca="false">J20*(1+K19)</f>
        <v>16.5806045371411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0.954688536399716</v>
      </c>
      <c r="C21" s="31" t="n">
        <f aca="false">1/(1+$B$11)^(C17-0.5)</f>
        <v>0.870131965132069</v>
      </c>
      <c r="D21" s="31" t="n">
        <f aca="false">1/(1+$B$11)^(D17-0.5)</f>
        <v>0.793064552340655</v>
      </c>
      <c r="E21" s="31" t="n">
        <f aca="false">1/(1+$B$11)^(E17-0.5)</f>
        <v>0.722822984768548</v>
      </c>
      <c r="F21" s="31" t="n">
        <f aca="false">1/(1+$B$11)^(F17-0.5)</f>
        <v>0.658802698680305</v>
      </c>
      <c r="G21" s="31" t="n">
        <f aca="false">1/(1+$B$11)^(G17-0.5)</f>
        <v>0.600452676428696</v>
      </c>
      <c r="H21" s="31" t="n">
        <f aca="false">1/(1+$B$11)^(H17-0.5)</f>
        <v>0.547270703888455</v>
      </c>
      <c r="I21" s="31" t="n">
        <f aca="false">1/(1+$B$11)^(I17-0.5)</f>
        <v>0.498799047938179</v>
      </c>
      <c r="J21" s="31" t="n">
        <f aca="false">1/(1+$B$11)^(J17-0.5)</f>
        <v>0.454620516786779</v>
      </c>
      <c r="K21" s="31" t="n">
        <f aca="false">1/(1+$B$11)^(K17-0.5)</f>
        <v>0.414354869236026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3.81875414559887</v>
      </c>
      <c r="C22" s="32" t="n">
        <f aca="false">C20*C21</f>
        <v>6.96105572105655</v>
      </c>
      <c r="D22" s="32" t="n">
        <f aca="false">D20*D21</f>
        <v>8.72371007574721</v>
      </c>
      <c r="E22" s="32" t="n">
        <f aca="false">E20*E21</f>
        <v>9.03528730960685</v>
      </c>
      <c r="F22" s="32" t="n">
        <f aca="false">F20*F21</f>
        <v>8.89383643218412</v>
      </c>
      <c r="G22" s="32" t="n">
        <f aca="false">G20*G21</f>
        <v>8.54384113290392</v>
      </c>
      <c r="H22" s="32" t="n">
        <f aca="false">H20*H21</f>
        <v>8.16089635821902</v>
      </c>
      <c r="I22" s="32" t="n">
        <f aca="false">I20*I21</f>
        <v>7.75048708378514</v>
      </c>
      <c r="J22" s="32" t="n">
        <f aca="false">J20*J21</f>
        <v>7.31833301292458</v>
      </c>
      <c r="K22" s="32" t="n">
        <f aca="false">K20*K21</f>
        <v>6.87025422484136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76.0764554968676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254.22530903329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105.339494680977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181.415950177845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155.815950177845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197.085694634259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0.107176721067606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0.5</v>
      </c>
      <c r="C18" s="27" t="n">
        <v>3</v>
      </c>
      <c r="D18" s="27" t="n">
        <v>5</v>
      </c>
      <c r="E18" s="27" t="n">
        <v>6.5</v>
      </c>
      <c r="F18" s="27" t="n">
        <v>7.5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2.5</v>
      </c>
      <c r="C20" s="30" t="n">
        <f aca="false">C18+$B$7</f>
        <v>5</v>
      </c>
      <c r="D20" s="30" t="n">
        <f aca="false">D18+$B$7</f>
        <v>7</v>
      </c>
      <c r="E20" s="30" t="n">
        <f aca="false">E18+$B$7</f>
        <v>8.5</v>
      </c>
      <c r="F20" s="30" t="n">
        <f aca="false">F18+$B$7</f>
        <v>9.5</v>
      </c>
      <c r="G20" s="30" t="n">
        <f aca="false">F20*(1+G19)</f>
        <v>10.013</v>
      </c>
      <c r="H20" s="30" t="n">
        <f aca="false">G20*(1+H19)</f>
        <v>10.493624</v>
      </c>
      <c r="I20" s="30" t="n">
        <f aca="false">H20*(1+I19)</f>
        <v>10.934356208</v>
      </c>
      <c r="J20" s="30" t="n">
        <f aca="false">I20*(1+J19)</f>
        <v>11.327993031488</v>
      </c>
      <c r="K20" s="30" t="n">
        <f aca="false">J20*(1+K19)</f>
        <v>11.6678328224326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0.950367392399345</v>
      </c>
      <c r="C21" s="31" t="n">
        <f aca="false">1/(1+$B$11)^(C17-0.5)</f>
        <v>0.858370099655766</v>
      </c>
      <c r="D21" s="31" t="n">
        <f aca="false">1/(1+$B$11)^(D17-0.5)</f>
        <v>0.775278312235534</v>
      </c>
      <c r="E21" s="31" t="n">
        <f aca="false">1/(1+$B$11)^(E17-0.5)</f>
        <v>0.700229961020101</v>
      </c>
      <c r="F21" s="31" t="n">
        <f aca="false">1/(1+$B$11)^(F17-0.5)</f>
        <v>0.632446426750101</v>
      </c>
      <c r="G21" s="31" t="n">
        <f aca="false">1/(1+$B$11)^(G17-0.5)</f>
        <v>0.571224461927143</v>
      </c>
      <c r="H21" s="31" t="n">
        <f aca="false">1/(1+$B$11)^(H17-0.5)</f>
        <v>0.515928894690212</v>
      </c>
      <c r="I21" s="31" t="n">
        <f aca="false">1/(1+$B$11)^(I17-0.5)</f>
        <v>0.465986038970113</v>
      </c>
      <c r="J21" s="31" t="n">
        <f aca="false">1/(1+$B$11)^(J17-0.5)</f>
        <v>0.420877742552952</v>
      </c>
      <c r="K21" s="31" t="n">
        <f aca="false">1/(1+$B$11)^(K17-0.5)</f>
        <v>0.380136011301896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2.37591848099836</v>
      </c>
      <c r="C22" s="32" t="n">
        <f aca="false">C20*C21</f>
        <v>4.29185049827883</v>
      </c>
      <c r="D22" s="32" t="n">
        <f aca="false">D20*D21</f>
        <v>5.42694818564874</v>
      </c>
      <c r="E22" s="32" t="n">
        <f aca="false">E20*E21</f>
        <v>5.95195466867086</v>
      </c>
      <c r="F22" s="32" t="n">
        <f aca="false">F20*F21</f>
        <v>6.00824105412596</v>
      </c>
      <c r="G22" s="32" t="n">
        <f aca="false">G20*G21</f>
        <v>5.71967053727648</v>
      </c>
      <c r="H22" s="32" t="n">
        <f aca="false">H20*H21</f>
        <v>5.41396383161468</v>
      </c>
      <c r="I22" s="32" t="n">
        <f aca="false">I20*I21</f>
        <v>5.09525733805419</v>
      </c>
      <c r="J22" s="32" t="n">
        <f aca="false">J20*J21</f>
        <v>4.76770013474824</v>
      </c>
      <c r="K22" s="32" t="n">
        <f aca="false">K20*K21</f>
        <v>4.43536342965689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49.4868681590732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155.718818328367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59.1943304839899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108.681198643063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83.0811986430632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105.08626188093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-0.01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0.0871767210676063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3</v>
      </c>
      <c r="C18" s="27" t="n">
        <v>8</v>
      </c>
      <c r="D18" s="27" t="n">
        <v>11</v>
      </c>
      <c r="E18" s="27" t="n">
        <v>13</v>
      </c>
      <c r="F18" s="27" t="n">
        <v>14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5</v>
      </c>
      <c r="C20" s="30" t="n">
        <f aca="false">C18+$B$7</f>
        <v>10</v>
      </c>
      <c r="D20" s="30" t="n">
        <f aca="false">D18+$B$7</f>
        <v>13</v>
      </c>
      <c r="E20" s="30" t="n">
        <f aca="false">E18+$B$7</f>
        <v>15</v>
      </c>
      <c r="F20" s="30" t="n">
        <f aca="false">F18+$B$7</f>
        <v>16</v>
      </c>
      <c r="G20" s="30" t="n">
        <f aca="false">F20*(1+G19)</f>
        <v>16.864</v>
      </c>
      <c r="H20" s="30" t="n">
        <f aca="false">G20*(1+H19)</f>
        <v>17.673472</v>
      </c>
      <c r="I20" s="30" t="n">
        <f aca="false">H20*(1+I19)</f>
        <v>18.415757824</v>
      </c>
      <c r="J20" s="30" t="n">
        <f aca="false">I20*(1+J19)</f>
        <v>19.078725105664</v>
      </c>
      <c r="K20" s="30" t="n">
        <f aca="false">J20*(1+K19)</f>
        <v>19.6510868588339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0.959069163844587</v>
      </c>
      <c r="C21" s="31" t="n">
        <f aca="false">1/(1+$B$11)^(C17-0.5)</f>
        <v>0.882164918784117</v>
      </c>
      <c r="D21" s="31" t="n">
        <f aca="false">1/(1+$B$11)^(D17-0.5)</f>
        <v>0.811427343585716</v>
      </c>
      <c r="E21" s="31" t="n">
        <f aca="false">1/(1+$B$11)^(E17-0.5)</f>
        <v>0.746361955569556</v>
      </c>
      <c r="F21" s="31" t="n">
        <f aca="false">1/(1+$B$11)^(F17-0.5)</f>
        <v>0.686513922811582</v>
      </c>
      <c r="G21" s="31" t="n">
        <f aca="false">1/(1+$B$11)^(G17-0.5)</f>
        <v>0.631464884694575</v>
      </c>
      <c r="H21" s="31" t="n">
        <f aca="false">1/(1+$B$11)^(H17-0.5)</f>
        <v>0.580830027407575</v>
      </c>
      <c r="I21" s="31" t="n">
        <f aca="false">1/(1+$B$11)^(I17-0.5)</f>
        <v>0.534255393950305</v>
      </c>
      <c r="J21" s="31" t="n">
        <f aca="false">1/(1+$B$11)^(J17-0.5)</f>
        <v>0.491415409838492</v>
      </c>
      <c r="K21" s="31" t="n">
        <f aca="false">1/(1+$B$11)^(K17-0.5)</f>
        <v>0.452010607213814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4.79534581922294</v>
      </c>
      <c r="C22" s="32" t="n">
        <f aca="false">C20*C21</f>
        <v>8.82164918784117</v>
      </c>
      <c r="D22" s="32" t="n">
        <f aca="false">D20*D21</f>
        <v>10.5485554666143</v>
      </c>
      <c r="E22" s="32" t="n">
        <f aca="false">E20*E21</f>
        <v>11.1954293335433</v>
      </c>
      <c r="F22" s="32" t="n">
        <f aca="false">F20*F21</f>
        <v>10.9842227649853</v>
      </c>
      <c r="G22" s="32" t="n">
        <f aca="false">G20*G21</f>
        <v>10.6490238154893</v>
      </c>
      <c r="H22" s="32" t="n">
        <f aca="false">H20*H21</f>
        <v>10.265283226147</v>
      </c>
      <c r="I22" s="32" t="n">
        <f aca="false">I20*I21</f>
        <v>9.83871795115453</v>
      </c>
      <c r="J22" s="32" t="n">
        <f aca="false">J20*J21</f>
        <v>9.37557951699579</v>
      </c>
      <c r="K22" s="32" t="n">
        <f aca="false">K20*K21</f>
        <v>8.88249970347291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95.3563067854666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354.001052992637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160.012230917531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255.368537702998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229.768537702998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290.625522012393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2026-10-22T20:06:02Z</dcterms:modified>
  <cp:revision>0</cp:revision>
  <dc:subject/>
  <dc:title>Boeing (BA)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