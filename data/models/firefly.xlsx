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<sst xmlns="http://schemas.openxmlformats.org/spreadsheetml/2006/main" count="53" uniqueCount="43">
  <si>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LDB FINANCE</t>
  </si>
  <si>
    <t xml:space="preserve">Firefly Aerospace (FLY)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</si>
  <si>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</si>
  <si>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</si>
  <si>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</si>
  <si>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</si>
  <si>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</si>
  <si>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</si>
  <si>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</si>
  <si>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</si>
  <si>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</si>
  <si>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</si>
  <si>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</si>
  <si>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</si>
  <si>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</si>
  <si>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</si>
  <si>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</si>
  <si>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</si>
  <si>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</si>
  <si>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</si>
  <si>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</si>
  <si>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</si>
  <si>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</si>
  <si>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</si>
  <si>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</si>
  <si>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</si>
  <si>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</si>
  <si>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</si>
  <si>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</si>
  <si>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</si>
  <si>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</si>
  <si>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</si>
  <si>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reinvested; zero for a company without profit yet</t>
  </si>
  <si>
    <t xml:space="preserve">VALUE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</si>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</sst>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Model!B28</f>
        <v>2.62845419363138</v>
      </c>
      <c r="C8" s="10" t="n">
        <f aca="false">Model!C28</f>
        <v>18.1392203700229</v>
      </c>
      <c r="D8" s="10" t="n">
        <f aca="false">Model!D28</f>
        <v>50.4071568021365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22.3285129339534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0.282510794598127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(Model!$C$19/(1+B16)^Model!$C$11+Model!$C$22/(1+B16)^1+Model!$C$23/(1+B16)^2+Model!$C$24/(1+B16)^3+Model!$C$25/(1+B16)^4+Model!$C$12)/Model!$C$13</f>
        <v>19.4451094373009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(Model!$C$19/(1+B17)^Model!$C$11+Model!$C$22/(1+B17)^1+Model!$C$23/(1+B17)^2+Model!$C$24/(1+B17)^3+Model!$C$25/(1+B17)^4+Model!$C$12)/Model!$C$13</f>
        <v>18.7776553880635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(Model!$C$19/(1+B18)^Model!$C$11+Model!$C$22/(1+B18)^1+Model!$C$23/(1+B18)^2+Model!$C$24/(1+B18)^3+Model!$C$25/(1+B18)^4+Model!$C$12)/Model!$C$13</f>
        <v>18.1392203700229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(Model!$C$19/(1+B19)^Model!$C$11+Model!$C$22/(1+B19)^1+Model!$C$23/(1+B19)^2+Model!$C$24/(1+B19)^3+Model!$C$25/(1+B19)^4+Model!$C$12)/Model!$C$13</f>
        <v>17.5283142748761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(Model!$C$19/(1+B20)^Model!$C$11+Model!$C$22/(1+B20)^1+Model!$C$23/(1+B20)^2+Model!$C$24/(1+B20)^3+Model!$C$25/(1+B20)^4+Model!$C$12)/Model!$C$13</f>
        <v>16.9435352789197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4" customFormat="false" ht="15" hidden="false" customHeight="false" outlineLevel="0" collapsed="false">
      <c r="A14" s="9" t="s">
        <v>29</v>
      </c>
      <c r="B14" s="20" t="n">
        <v>-0.23</v>
      </c>
      <c r="C14" s="20" t="n">
        <v>-0.23</v>
      </c>
      <c r="D14" s="20" t="n">
        <v>-0.23</v>
      </c>
      <c r="E14" s="19" t="s">
        <v>30</v>
      </c>
    </row>
    <row r="15" customFormat="false" ht="15" hidden="false" customHeight="false" outlineLevel="0" collapsed="false">
      <c r="A15" s="9" t="s">
        <v>31</v>
      </c>
      <c r="B15" s="11" t="n">
        <v>0.8</v>
      </c>
      <c r="C15" s="11" t="n">
        <v>0.8</v>
      </c>
      <c r="D15" s="11" t="n">
        <v>0.8</v>
      </c>
      <c r="E15" s="19" t="s">
        <v>32</v>
      </c>
    </row>
    <row r="17" customFormat="false" ht="19.5" hidden="false" customHeight="true" outlineLevel="0" collapsed="false">
      <c r="A17" s="5" t="s">
        <v>33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34</v>
      </c>
      <c r="B19" s="24" t="n">
        <f aca="false">B8*B9</f>
        <v>1.4</v>
      </c>
      <c r="C19" s="24" t="n">
        <f aca="false">C8*C9</f>
        <v>6</v>
      </c>
      <c r="D19" s="24" t="n">
        <f aca="false">D8*D9</f>
        <v>16</v>
      </c>
    </row>
    <row r="20" customFormat="false" ht="15" hidden="false" customHeight="false" outlineLevel="0" collapsed="false">
      <c r="A20" s="9" t="s">
        <v>35</v>
      </c>
      <c r="B20" s="24" t="n">
        <f aca="false">B19/(1+B10)^B11</f>
        <v>0.800454543830247</v>
      </c>
      <c r="C20" s="24" t="n">
        <f aca="false">C19/(1+C10)^C11</f>
        <v>3.4305194735582</v>
      </c>
      <c r="D20" s="24" t="n">
        <f aca="false">D19/(1+D10)^D11</f>
        <v>9.14805192948854</v>
      </c>
    </row>
    <row r="21" customFormat="false" ht="15" hidden="false" customHeight="false" outlineLevel="0" collapsed="false">
      <c r="A21" s="9" t="s">
        <v>36</v>
      </c>
      <c r="B21" s="24" t="n">
        <f aca="false">0</f>
        <v>0</v>
      </c>
      <c r="C21" s="24" t="n">
        <f aca="false">0</f>
        <v>0</v>
      </c>
      <c r="D21" s="24" t="n">
        <f aca="false">0</f>
        <v>0</v>
      </c>
    </row>
    <row r="22" customFormat="false" ht="15" hidden="false" customHeight="false" outlineLevel="0" collapsed="false">
      <c r="A22" s="9" t="s">
        <v>37</v>
      </c>
      <c r="B22" s="24" t="n">
        <f aca="false">B14+(B21-B14)*1/B11</f>
        <v>-0.1725</v>
      </c>
      <c r="C22" s="24" t="n">
        <f aca="false">C14+(C21-C14)*1/C11</f>
        <v>-0.1725</v>
      </c>
      <c r="D22" s="24" t="n">
        <f aca="false">D14+(D21-D14)*1/D11</f>
        <v>-0.1725</v>
      </c>
    </row>
    <row r="23" customFormat="false" ht="15" hidden="false" customHeight="false" outlineLevel="0" collapsed="false">
      <c r="A23" s="9" t="s">
        <v>38</v>
      </c>
      <c r="B23" s="24" t="n">
        <f aca="false">B14+(B21-B14)*2/B11</f>
        <v>-0.115</v>
      </c>
      <c r="C23" s="24" t="n">
        <f aca="false">C14+(C21-C14)*2/C11</f>
        <v>-0.115</v>
      </c>
      <c r="D23" s="24" t="n">
        <f aca="false">D14+(D21-D14)*2/D11</f>
        <v>-0.115</v>
      </c>
    </row>
    <row r="24" customFormat="false" ht="15" hidden="false" customHeight="false" outlineLevel="0" collapsed="false">
      <c r="A24" s="9" t="s">
        <v>39</v>
      </c>
      <c r="B24" s="24" t="n">
        <f aca="false">B14+(B21-B14)*3/B11</f>
        <v>-0.0575</v>
      </c>
      <c r="C24" s="24" t="n">
        <f aca="false">C14+(C21-C14)*3/C11</f>
        <v>-0.0575</v>
      </c>
      <c r="D24" s="24" t="n">
        <f aca="false">D14+(D21-D14)*3/D11</f>
        <v>-0.0575</v>
      </c>
    </row>
    <row r="25" customFormat="false" ht="15" hidden="false" customHeight="false" outlineLevel="0" collapsed="false">
      <c r="A25" s="9" t="s">
        <v>40</v>
      </c>
      <c r="B25" s="24" t="n">
        <f aca="false">B14+(B21-B14)*4/B11</f>
        <v>0</v>
      </c>
      <c r="C25" s="24" t="n">
        <f aca="false">C14+(C21-C14)*4/C11</f>
        <v>0</v>
      </c>
      <c r="D25" s="24" t="n">
        <f aca="false">D14+(D21-D14)*4/D11</f>
        <v>0</v>
      </c>
    </row>
    <row r="26" customFormat="false" ht="15" hidden="false" customHeight="false" outlineLevel="0" collapsed="false">
      <c r="A26" s="9" t="s">
        <v>41</v>
      </c>
      <c r="B26" s="24" t="n">
        <f aca="false">B22/(1+B10)^1+B23/(1+B10)^2+B24/(1+B10)^3+B25/(1+B10)^4</f>
        <v>-0.27476370510397</v>
      </c>
      <c r="C26" s="24" t="n">
        <f aca="false">C22/(1+C10)^1+C23/(1+C10)^2+C24/(1+C10)^3+C25/(1+C10)^4</f>
        <v>-0.27476370510397</v>
      </c>
      <c r="D26" s="24" t="n">
        <f aca="false">D22/(1+D10)^1+D23/(1+D10)^2+D24/(1+D10)^3+D25/(1+D10)^4</f>
        <v>-0.27476370510397</v>
      </c>
    </row>
    <row r="27" customFormat="false" ht="15" hidden="false" customHeight="false" outlineLevel="0" collapsed="false">
      <c r="A27" s="9" t="s">
        <v>42</v>
      </c>
      <c r="B27" s="24" t="n">
        <f aca="false">B20+B26+B12</f>
        <v>0.525690838726277</v>
      </c>
      <c r="C27" s="24" t="n">
        <f aca="false">C20+C26+C12</f>
        <v>3.35575576845423</v>
      </c>
      <c r="D27" s="24" t="n">
        <f aca="false">D20+D26+D12</f>
        <v>9.07328822438456</v>
      </c>
    </row>
    <row r="28" customFormat="false" ht="15" hidden="false" customHeight="false" outlineLevel="0" collapsed="false">
      <c r="A28" s="12" t="s">
        <v>15</v>
      </c>
      <c r="B28" s="13" t="n">
        <f aca="false">B27/B13</f>
        <v>2.62845419363138</v>
      </c>
      <c r="C28" s="13" t="n">
        <f aca="false">C27/C13</f>
        <v>18.1392203700229</v>
      </c>
      <c r="D28" s="13" t="n">
        <f aca="false">D27/D13</f>
        <v>50.4071568021365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