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<sst xmlns="http://schemas.openxmlformats.org/spreadsheetml/2006/main" count="43" uniqueCount="33">
  <si>
    <t xml:space="preserve">LDB FINANCE</t>
  </si>
  <si>
    <t xml:space="preserve">Firefly Aerospace (FLY)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</si>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</sst>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Model!B20</f>
        <v>4.00227271915123</v>
      </c>
      <c r="C8" s="10" t="n">
        <f aca="false">Model!C20</f>
        <v>19.6244295868011</v>
      </c>
      <c r="D8" s="10" t="n">
        <f aca="false">Model!D20</f>
        <v>51.9336218304919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23.7961884308113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0.366811512395825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(Model!$C$17/(1+B16)^Model!$C$11+Model!$C$12)/Model!$C$13</f>
        <v>20.9724992760879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(Model!$C$17/(1+B17)^Model!$C$11+Model!$C$12)/Model!$C$13</f>
        <v>20.2836846714656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(Model!$C$17/(1+B18)^Model!$C$11+Model!$C$12)/Model!$C$13</f>
        <v>19.6244295868011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(Model!$C$17/(1+B19)^Model!$C$11+Model!$C$12)/Model!$C$13</f>
        <v>18.9932247961235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(Model!$C$17/(1+B20)^Model!$C$11+Model!$C$12)/Model!$C$13</f>
        <v>18.3886502129673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5" customFormat="false" ht="19.5" hidden="false" customHeight="true" outlineLevel="0" collapsed="false">
      <c r="A15" s="5" t="s">
        <v>29</v>
      </c>
      <c r="B15" s="6"/>
      <c r="C15" s="6"/>
      <c r="D15" s="6"/>
      <c r="E15" s="6"/>
    </row>
    <row r="16" customFormat="false" ht="30" hidden="false" customHeight="true" outlineLevel="0" collapsed="false">
      <c r="A16" s="7"/>
      <c r="B16" s="8" t="s">
        <v>4</v>
      </c>
      <c r="C16" s="8" t="s">
        <v>5</v>
      </c>
      <c r="D16" s="8" t="s">
        <v>6</v>
      </c>
    </row>
    <row r="17" customFormat="false" ht="15" hidden="false" customHeight="false" outlineLevel="0" collapsed="false">
      <c r="A17" s="9" t="s">
        <v>30</v>
      </c>
      <c r="B17" s="24" t="n">
        <f aca="false">B8*B9</f>
        <v>1.4</v>
      </c>
      <c r="C17" s="24" t="n">
        <f aca="false">C8*C9</f>
        <v>6</v>
      </c>
      <c r="D17" s="24" t="n">
        <f aca="false">D8*D9</f>
        <v>16</v>
      </c>
    </row>
    <row r="18" customFormat="false" ht="15" hidden="false" customHeight="false" outlineLevel="0" collapsed="false">
      <c r="A18" s="9" t="s">
        <v>31</v>
      </c>
      <c r="B18" s="24" t="n">
        <f aca="false">B17/(1+B10)^B11</f>
        <v>0.800454543830247</v>
      </c>
      <c r="C18" s="24" t="n">
        <f aca="false">C17/(1+C10)^C11</f>
        <v>3.4305194735582</v>
      </c>
      <c r="D18" s="24" t="n">
        <f aca="false">D17/(1+D10)^D11</f>
        <v>9.14805192948854</v>
      </c>
    </row>
    <row r="19" customFormat="false" ht="15" hidden="false" customHeight="false" outlineLevel="0" collapsed="false">
      <c r="A19" s="9" t="s">
        <v>32</v>
      </c>
      <c r="B19" s="24" t="n">
        <f aca="false">B18+B12</f>
        <v>0.800454543830247</v>
      </c>
      <c r="C19" s="24" t="n">
        <f aca="false">C18+C12</f>
        <v>3.6305194735582</v>
      </c>
      <c r="D19" s="24" t="n">
        <f aca="false">D18+D12</f>
        <v>9.34805192948853</v>
      </c>
    </row>
    <row r="20" customFormat="false" ht="15" hidden="false" customHeight="false" outlineLevel="0" collapsed="false">
      <c r="A20" s="12" t="s">
        <v>15</v>
      </c>
      <c r="B20" s="13" t="n">
        <f aca="false">B19/B13</f>
        <v>4.00227271915123</v>
      </c>
      <c r="C20" s="13" t="n">
        <f aca="false">C19/C13</f>
        <v>19.6244295868011</v>
      </c>
      <c r="D20" s="13" t="n">
        <f aca="false">D19/D13</f>
        <v>51.9336218304919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