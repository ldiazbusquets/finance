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<sst xmlns="http://schemas.openxmlformats.org/spreadsheetml/2006/main" count="183" uniqueCount="73">
  <si>
    <t xml:space="preserve">LDB FINANCE</t>
  </si>
  <si>
    <t xml:space="preserve">GE Vernova (GEV)</t>
  </si>
  <si>
    <t xml:space="preserve">Ten-year discounted cash flow on the company’s 2028 targets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</si>
  <si>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</si>
  <si>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</si>
  <si>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</si>
  <si>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</si>
  <si>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</si>
  <si>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</si>
  <si>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</si>
  <si>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</si>
  <si>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</si>
  <si>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</si>
  <si>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</si>
  <si>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</si>
  <si>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</si>
  <si>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</si>
  <si>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</si>
  <si>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</si>
  <si>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https://github.com/ldiazbusquets/finance/blob/main/_source/models/gev.py, and checked against it each time the file is made.</t>
  </si>
  <si>
    <t xml:space="preserve">For education only. Not investment advice.</t>
  </si>
  <si>
    <t xml:space="preserve">Base case: ten-year free cash flow to the firm, $ billions</t>
  </si>
  <si>
    <t xml:space="preserve">INPUTS</t>
  </si>
  <si>
    <t xml:space="preserve">Revenue, 2026 ($B)</t>
  </si>
  <si>
    <t xml:space="preserve">Guidance</t>
  </si>
  <si>
    <t xml:space="preserve">Revenue growth, 2027</t>
  </si>
  <si>
    <t xml:space="preserve">Revenue growth, 2028</t>
  </si>
  <si>
    <t xml:space="preserve">Then fades to terminal growth by 2036</t>
  </si>
  <si>
    <t xml:space="preserve">Terminal growth</t>
  </si>
  <si>
    <t xml:space="preserve">EBITDA margin, 2026</t>
  </si>
  <si>
    <t xml:space="preserve">EBITDA margin, 2028 target</t>
  </si>
  <si>
    <t xml:space="preserve">Company 2028 target, reached in two years</t>
  </si>
  <si>
    <t xml:space="preserve">Depreciation, share of revenue</t>
  </si>
  <si>
    <t xml:space="preserve">Sales to capital</t>
  </si>
  <si>
    <t xml:space="preserve">Reinvestment = revenue growth / 4</t>
  </si>
  <si>
    <t xml:space="preserve">Tax rate</t>
  </si>
  <si>
    <t xml:space="preserve">Return on new capital, after year 10</t>
  </si>
  <si>
    <t xml:space="preserve">CAPM with beta about 1.2; no net debt</t>
  </si>
  <si>
    <t xml:space="preserve">Net cash ($B)</t>
  </si>
  <si>
    <t xml:space="preserve">Jun 30 2026: $13.12B cash less $2.85B debt</t>
  </si>
  <si>
    <t xml:space="preserve">Diluted shares (billions)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</si>
  <si>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</si>
  <si>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</si>
  <si>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</si>
  <si>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</si>
  <si>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</si>
  <si>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</si>
  <si>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</si>
  <si>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</si>
  <si>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</si>
  <si>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</si>
  <si>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</si>
  <si>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</si>
  <si>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</si>
  <si>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Revenue growth</t>
  </si>
  <si>
    <t xml:space="preserve">Revenue ($B)</t>
  </si>
  <si>
    <t xml:space="preserve">EBITDA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</si>
  <si>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</si>
  <si>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</si>
  <si>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</si>
  <si>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</si>
  <si>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</si>
  <si>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</si>
  <si>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</si>
  <si>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</si>
  <si>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</si>
  <si>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</si>
  <si>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</si>
  <si>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</si>
  <si>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</si>
  <si>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</si>
  <si>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$ billions</t>
  </si>
  <si>
    <t xml:space="preserve">Bull case: ten-year free cash flow to the firm,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</si>
</sst>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;\(#,##0.0\);\-"/>
    <numFmt numFmtId="169" formatCode="0.0"/>
    <numFmt numFmtId="170" formatCode="#,##0.00;\(#,##0.00\);\-"/>
    <numFmt numFmtId="171" formatCode="0.0000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Bear!$B$41</f>
        <v>271.630611168035</v>
      </c>
      <c r="C8" s="10" t="n">
        <f aca="false">Base!$B$41</f>
        <v>442.477151675259</v>
      </c>
      <c r="D8" s="10" t="n">
        <f aca="false">Bull!$B$41</f>
        <v>682.384010195621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459.742231178544</v>
      </c>
    </row>
    <row r="11" customFormat="false" ht="15" hidden="false" customHeight="false" outlineLevel="0" collapsed="false">
      <c r="A11" s="9" t="s">
        <v>10</v>
      </c>
      <c r="C11" s="14" t="n">
        <v>890.33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-0.483627159391974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0.085</v>
      </c>
      <c r="C16" s="18" t="n">
        <f aca="false">(SUMPRODUCT(Base!$B$30:$K$30,1/(1+B16)^(Base!$B$23:$K$23-0.5))+Base!$K$27*(1+Base!$B$10)*(1-Base!$B$15)*(1-Base!$B$10/Base!$B$16)/(B16-Base!$B$10)/(1+B16)^9.5+Base!$B$18)/Base!$B$19</f>
        <v>607.081789473388</v>
      </c>
    </row>
    <row r="17" customFormat="false" ht="15" hidden="false" customHeight="false" outlineLevel="0" collapsed="false">
      <c r="A17" s="16"/>
      <c r="B17" s="17" t="n">
        <v>0.09</v>
      </c>
      <c r="C17" s="18" t="n">
        <f aca="false">(SUMPRODUCT(Base!$B$30:$K$30,1/(1+B17)^(Base!$B$23:$K$23-0.5))+Base!$K$27*(1+Base!$B$10)*(1-Base!$B$15)*(1-Base!$B$10/Base!$B$16)/(B17-Base!$B$10)/(1+B17)^9.5+Base!$B$18)/Base!$B$19</f>
        <v>559.076009251455</v>
      </c>
    </row>
    <row r="18" customFormat="false" ht="15" hidden="false" customHeight="false" outlineLevel="0" collapsed="false">
      <c r="A18" s="16"/>
      <c r="B18" s="17" t="n">
        <v>0.095</v>
      </c>
      <c r="C18" s="18" t="n">
        <f aca="false">(SUMPRODUCT(Base!$B$30:$K$30,1/(1+B18)^(Base!$B$23:$K$23-0.5))+Base!$K$27*(1+Base!$B$10)*(1-Base!$B$15)*(1-Base!$B$10/Base!$B$16)/(B18-Base!$B$10)/(1+B18)^9.5+Base!$B$18)/Base!$B$19</f>
        <v>518.452640582566</v>
      </c>
    </row>
    <row r="19" customFormat="false" ht="15" hidden="false" customHeight="false" outlineLevel="0" collapsed="false">
      <c r="A19" s="16"/>
      <c r="B19" s="17" t="n">
        <v>0.1</v>
      </c>
      <c r="C19" s="18" t="n">
        <f aca="false">(SUMPRODUCT(Base!$B$30:$K$30,1/(1+B19)^(Base!$B$23:$K$23-0.5))+Base!$K$27*(1+Base!$B$10)*(1-Base!$B$15)*(1-Base!$B$10/Base!$B$16)/(B19-Base!$B$10)/(1+B19)^9.5+Base!$B$18)/Base!$B$19</f>
        <v>483.630899799417</v>
      </c>
    </row>
    <row r="20" customFormat="false" ht="15" hidden="false" customHeight="false" outlineLevel="0" collapsed="false">
      <c r="A20" s="16"/>
      <c r="B20" s="17" t="n">
        <v>0.107</v>
      </c>
      <c r="C20" s="18" t="n">
        <f aca="false">(SUMPRODUCT(Base!$B$30:$K$30,1/(1+B20)^(Base!$B$23:$K$23-0.5))+Base!$K$27*(1+Base!$B$10)*(1-Base!$B$15)*(1-Base!$B$10/Base!$B$16)/(B20-Base!$B$10)/(1+B20)^9.5+Base!$B$18)/Base!$B$19</f>
        <v>442.477151675259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0.12</v>
      </c>
    </row>
    <row r="9" customFormat="false" ht="15" hidden="false" customHeight="false" outlineLevel="0" collapsed="false">
      <c r="A9" s="9" t="s">
        <v>26</v>
      </c>
      <c r="B9" s="11" t="n">
        <v>0.1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0.2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0.107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0.12</v>
      </c>
      <c r="C24" s="15" t="n">
        <f aca="false">$B$9</f>
        <v>0.1</v>
      </c>
      <c r="D24" s="15" t="n">
        <f aca="false">$B$9+($B$10-$B$9)*(D23-2)/8</f>
        <v>0.09125</v>
      </c>
      <c r="E24" s="15" t="n">
        <f aca="false">$B$9+($B$10-$B$9)*(E23-2)/8</f>
        <v>0.0825</v>
      </c>
      <c r="F24" s="15" t="n">
        <f aca="false">$B$9+($B$10-$B$9)*(F23-2)/8</f>
        <v>0.07375</v>
      </c>
      <c r="G24" s="15" t="n">
        <f aca="false">$B$9+($B$10-$B$9)*(G23-2)/8</f>
        <v>0.065</v>
      </c>
      <c r="H24" s="15" t="n">
        <f aca="false">$B$9+($B$10-$B$9)*(H23-2)/8</f>
        <v>0.05625</v>
      </c>
      <c r="I24" s="15" t="n">
        <f aca="false">$B$9+($B$10-$B$9)*(I23-2)/8</f>
        <v>0.0475</v>
      </c>
      <c r="J24" s="15" t="n">
        <f aca="false">$B$9+($B$10-$B$9)*(J23-2)/8</f>
        <v>0.03875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51.52</v>
      </c>
      <c r="C25" s="26" t="n">
        <f aca="false">B25*(1+C24)</f>
        <v>56.672</v>
      </c>
      <c r="D25" s="26" t="n">
        <f aca="false">C25*(1+D24)</f>
        <v>61.84332</v>
      </c>
      <c r="E25" s="26" t="n">
        <f aca="false">D25*(1+E24)</f>
        <v>66.9453939</v>
      </c>
      <c r="F25" s="26" t="n">
        <f aca="false">E25*(1+F24)</f>
        <v>71.882616700125</v>
      </c>
      <c r="G25" s="26" t="n">
        <f aca="false">F25*(1+G24)</f>
        <v>76.5549867856331</v>
      </c>
      <c r="H25" s="26" t="n">
        <f aca="false">G25*(1+H24)</f>
        <v>80.861204792325</v>
      </c>
      <c r="I25" s="26" t="n">
        <f aca="false">H25*(1+I24)</f>
        <v>84.7021120199604</v>
      </c>
      <c r="J25" s="26" t="n">
        <f aca="false">I25*(1+J24)</f>
        <v>87.9843188607339</v>
      </c>
      <c r="K25" s="26" t="n">
        <f aca="false">J25*(1+K24)</f>
        <v>90.6238484265559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0.165</v>
      </c>
      <c r="C26" s="15" t="n">
        <f aca="false">$B$11+($B$12-$B$11)*MIN(1,C23/2)</f>
        <v>0.2</v>
      </c>
      <c r="D26" s="15" t="n">
        <f aca="false">$B$11+($B$12-$B$11)*MIN(1,D23/2)</f>
        <v>0.2</v>
      </c>
      <c r="E26" s="15" t="n">
        <f aca="false">$B$11+($B$12-$B$11)*MIN(1,E23/2)</f>
        <v>0.2</v>
      </c>
      <c r="F26" s="15" t="n">
        <f aca="false">$B$11+($B$12-$B$11)*MIN(1,F23/2)</f>
        <v>0.2</v>
      </c>
      <c r="G26" s="15" t="n">
        <f aca="false">$B$11+($B$12-$B$11)*MIN(1,G23/2)</f>
        <v>0.2</v>
      </c>
      <c r="H26" s="15" t="n">
        <f aca="false">$B$11+($B$12-$B$11)*MIN(1,H23/2)</f>
        <v>0.2</v>
      </c>
      <c r="I26" s="15" t="n">
        <f aca="false">$B$11+($B$12-$B$11)*MIN(1,I23/2)</f>
        <v>0.2</v>
      </c>
      <c r="J26" s="15" t="n">
        <f aca="false">$B$11+($B$12-$B$11)*MIN(1,J23/2)</f>
        <v>0.2</v>
      </c>
      <c r="K26" s="15" t="n">
        <f aca="false">$B$11+($B$12-$B$11)*MIN(1,K23/2)</f>
        <v>0.2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7.36736</v>
      </c>
      <c r="C27" s="26" t="n">
        <f aca="false">C25*(C26-$B$13)</f>
        <v>10.087616</v>
      </c>
      <c r="D27" s="26" t="n">
        <f aca="false">D25*(D26-$B$13)</f>
        <v>11.00811096</v>
      </c>
      <c r="E27" s="26" t="n">
        <f aca="false">E25*(E26-$B$13)</f>
        <v>11.9162801142</v>
      </c>
      <c r="F27" s="26" t="n">
        <f aca="false">F25*(F26-$B$13)</f>
        <v>12.7951057726223</v>
      </c>
      <c r="G27" s="26" t="n">
        <f aca="false">G25*(G26-$B$13)</f>
        <v>13.6267876478427</v>
      </c>
      <c r="H27" s="26" t="n">
        <f aca="false">H25*(H26-$B$13)</f>
        <v>14.3932944530338</v>
      </c>
      <c r="I27" s="26" t="n">
        <f aca="false">I25*(I26-$B$13)</f>
        <v>15.076975939553</v>
      </c>
      <c r="J27" s="26" t="n">
        <f aca="false">J25*(J26-$B$13)</f>
        <v>15.6612087572106</v>
      </c>
      <c r="K27" s="26" t="n">
        <f aca="false">K25*(K26-$B$13)</f>
        <v>16.131045019927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5.8202144</v>
      </c>
      <c r="C28" s="26" t="n">
        <f aca="false">C27*(1-$B$15)</f>
        <v>7.96921664</v>
      </c>
      <c r="D28" s="26" t="n">
        <f aca="false">D27*(1-$B$15)</f>
        <v>8.6964076584</v>
      </c>
      <c r="E28" s="26" t="n">
        <f aca="false">E27*(1-$B$15)</f>
        <v>9.413861290218</v>
      </c>
      <c r="F28" s="26" t="n">
        <f aca="false">F27*(1-$B$15)</f>
        <v>10.1081335603716</v>
      </c>
      <c r="G28" s="26" t="n">
        <f aca="false">G27*(1-$B$15)</f>
        <v>10.7651622417957</v>
      </c>
      <c r="H28" s="26" t="n">
        <f aca="false">H27*(1-$B$15)</f>
        <v>11.3707026178967</v>
      </c>
      <c r="I28" s="26" t="n">
        <f aca="false">I27*(1-$B$15)</f>
        <v>11.9108109922468</v>
      </c>
      <c r="J28" s="26" t="n">
        <f aca="false">J27*(1-$B$15)</f>
        <v>12.3723549181964</v>
      </c>
      <c r="K28" s="26" t="n">
        <f aca="false">K27*(1-$B$15)</f>
        <v>12.7435255657423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1.38</v>
      </c>
      <c r="C29" s="26" t="n">
        <f aca="false">(C25-B25)/$B$14</f>
        <v>1.288</v>
      </c>
      <c r="D29" s="26" t="n">
        <f aca="false">(D25-C25)/$B$14</f>
        <v>1.29283</v>
      </c>
      <c r="E29" s="26" t="n">
        <f aca="false">(E25-D25)/$B$14</f>
        <v>1.275518475</v>
      </c>
      <c r="F29" s="26" t="n">
        <f aca="false">(F25-E25)/$B$14</f>
        <v>1.23430570003125</v>
      </c>
      <c r="G29" s="26" t="n">
        <f aca="false">(G25-F25)/$B$14</f>
        <v>1.16809252137703</v>
      </c>
      <c r="H29" s="26" t="n">
        <f aca="false">(H25-G25)/$B$14</f>
        <v>1.07655450167296</v>
      </c>
      <c r="I29" s="26" t="n">
        <f aca="false">(I25-H25)/$B$14</f>
        <v>0.96022680690886</v>
      </c>
      <c r="J29" s="26" t="n">
        <f aca="false">(J25-I25)/$B$14</f>
        <v>0.820551710193367</v>
      </c>
      <c r="K29" s="26" t="n">
        <f aca="false">(K25-J25)/$B$14</f>
        <v>0.659882391455504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4.4402144</v>
      </c>
      <c r="C30" s="27" t="n">
        <f aca="false">C28-C29</f>
        <v>6.68121664</v>
      </c>
      <c r="D30" s="27" t="n">
        <f aca="false">D28-D29</f>
        <v>7.4035776584</v>
      </c>
      <c r="E30" s="27" t="n">
        <f aca="false">E28-E29</f>
        <v>8.138342815218</v>
      </c>
      <c r="F30" s="27" t="n">
        <f aca="false">F28-F29</f>
        <v>8.87382786034033</v>
      </c>
      <c r="G30" s="27" t="n">
        <f aca="false">G28-G29</f>
        <v>9.5970697204187</v>
      </c>
      <c r="H30" s="27" t="n">
        <f aca="false">H28-H29</f>
        <v>10.2941481162238</v>
      </c>
      <c r="I30" s="27" t="n">
        <f aca="false">I28-I29</f>
        <v>10.950584185338</v>
      </c>
      <c r="J30" s="27" t="n">
        <f aca="false">J28-J29</f>
        <v>11.551803208003</v>
      </c>
      <c r="K30" s="27" t="n">
        <f aca="false">K28-K29</f>
        <v>12.0836431742868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0.950443247520335</v>
      </c>
      <c r="C31" s="28" t="n">
        <f aca="false">1/(1+$B$17)^(C23-0.5)</f>
        <v>0.85857565268323</v>
      </c>
      <c r="D31" s="28" t="n">
        <f aca="false">1/(1+$B$17)^(D23-0.5)</f>
        <v>0.775587762134805</v>
      </c>
      <c r="E31" s="28" t="n">
        <f aca="false">1/(1+$B$17)^(E23-0.5)</f>
        <v>0.700621284674621</v>
      </c>
      <c r="F31" s="28" t="n">
        <f aca="false">1/(1+$B$17)^(F23-0.5)</f>
        <v>0.632900889498303</v>
      </c>
      <c r="G31" s="28" t="n">
        <f aca="false">1/(1+$B$17)^(G23-0.5)</f>
        <v>0.571726187442008</v>
      </c>
      <c r="H31" s="28" t="n">
        <f aca="false">1/(1+$B$17)^(H23-0.5)</f>
        <v>0.51646448730082</v>
      </c>
      <c r="I31" s="28" t="n">
        <f aca="false">1/(1+$B$17)^(I23-0.5)</f>
        <v>0.466544252304264</v>
      </c>
      <c r="J31" s="28" t="n">
        <f aca="false">1/(1+$B$17)^(J23-0.5)</f>
        <v>0.421449189073409</v>
      </c>
      <c r="K31" s="28" t="n">
        <f aca="false">1/(1+$B$17)^(K23-0.5)</f>
        <v>0.380712907925392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4.22017179402256</v>
      </c>
      <c r="C32" s="26" t="n">
        <f aca="false">C30*C31</f>
        <v>5.73632993740606</v>
      </c>
      <c r="D32" s="26" t="n">
        <f aca="false">D30*D31</f>
        <v>5.7421242278697</v>
      </c>
      <c r="E32" s="26" t="n">
        <f aca="false">E30*E31</f>
        <v>5.70189619832051</v>
      </c>
      <c r="F32" s="26" t="n">
        <f aca="false">F30*F31</f>
        <v>5.61625354606422</v>
      </c>
      <c r="G32" s="26" t="n">
        <f aca="false">G30*G31</f>
        <v>5.48689608187012</v>
      </c>
      <c r="H32" s="26" t="n">
        <f aca="false">H30*H31</f>
        <v>5.31656192904422</v>
      </c>
      <c r="I32" s="26" t="n">
        <f aca="false">I30*I31</f>
        <v>5.1089321110434</v>
      </c>
      <c r="J32" s="26" t="n">
        <f aca="false">J30*J31</f>
        <v>4.86849809434848</v>
      </c>
      <c r="K32" s="26" t="n">
        <f aca="false">K30*K31</f>
        <v>4.60039893121554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52.3980628512048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13.1258313327146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144.89554068581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55.1636026399167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107.561665491122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117.831665491122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442.477151675259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0.07</v>
      </c>
    </row>
    <row r="9" customFormat="false" ht="15" hidden="false" customHeight="false" outlineLevel="0" collapsed="false">
      <c r="A9" s="9" t="s">
        <v>26</v>
      </c>
      <c r="B9" s="11" t="n">
        <v>0.05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0.16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0.115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0.07</v>
      </c>
      <c r="C24" s="15" t="n">
        <f aca="false">$B$9</f>
        <v>0.05</v>
      </c>
      <c r="D24" s="15" t="n">
        <f aca="false">$B$9+($B$10-$B$9)*(D23-2)/8</f>
        <v>0.0475</v>
      </c>
      <c r="E24" s="15" t="n">
        <f aca="false">$B$9+($B$10-$B$9)*(E23-2)/8</f>
        <v>0.045</v>
      </c>
      <c r="F24" s="15" t="n">
        <f aca="false">$B$9+($B$10-$B$9)*(F23-2)/8</f>
        <v>0.0425</v>
      </c>
      <c r="G24" s="15" t="n">
        <f aca="false">$B$9+($B$10-$B$9)*(G23-2)/8</f>
        <v>0.04</v>
      </c>
      <c r="H24" s="15" t="n">
        <f aca="false">$B$9+($B$10-$B$9)*(H23-2)/8</f>
        <v>0.0375</v>
      </c>
      <c r="I24" s="15" t="n">
        <f aca="false">$B$9+($B$10-$B$9)*(I23-2)/8</f>
        <v>0.035</v>
      </c>
      <c r="J24" s="15" t="n">
        <f aca="false">$B$9+($B$10-$B$9)*(J23-2)/8</f>
        <v>0.0325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49.22</v>
      </c>
      <c r="C25" s="26" t="n">
        <f aca="false">B25*(1+C24)</f>
        <v>51.681</v>
      </c>
      <c r="D25" s="26" t="n">
        <f aca="false">C25*(1+D24)</f>
        <v>54.1358475</v>
      </c>
      <c r="E25" s="26" t="n">
        <f aca="false">D25*(1+E24)</f>
        <v>56.5719606375</v>
      </c>
      <c r="F25" s="26" t="n">
        <f aca="false">E25*(1+F24)</f>
        <v>58.9762689645938</v>
      </c>
      <c r="G25" s="26" t="n">
        <f aca="false">F25*(1+G24)</f>
        <v>61.3353197231775</v>
      </c>
      <c r="H25" s="26" t="n">
        <f aca="false">G25*(1+H24)</f>
        <v>63.6353942127967</v>
      </c>
      <c r="I25" s="26" t="n">
        <f aca="false">H25*(1+I24)</f>
        <v>65.8626330102446</v>
      </c>
      <c r="J25" s="26" t="n">
        <f aca="false">I25*(1+J24)</f>
        <v>68.0031685830775</v>
      </c>
      <c r="K25" s="26" t="n">
        <f aca="false">J25*(1+K24)</f>
        <v>70.0432636405698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0.145</v>
      </c>
      <c r="C26" s="15" t="n">
        <f aca="false">$B$11+($B$12-$B$11)*MIN(1,C23/2)</f>
        <v>0.16</v>
      </c>
      <c r="D26" s="15" t="n">
        <f aca="false">$B$11+($B$12-$B$11)*MIN(1,D23/2)</f>
        <v>0.16</v>
      </c>
      <c r="E26" s="15" t="n">
        <f aca="false">$B$11+($B$12-$B$11)*MIN(1,E23/2)</f>
        <v>0.16</v>
      </c>
      <c r="F26" s="15" t="n">
        <f aca="false">$B$11+($B$12-$B$11)*MIN(1,F23/2)</f>
        <v>0.16</v>
      </c>
      <c r="G26" s="15" t="n">
        <f aca="false">$B$11+($B$12-$B$11)*MIN(1,G23/2)</f>
        <v>0.16</v>
      </c>
      <c r="H26" s="15" t="n">
        <f aca="false">$B$11+($B$12-$B$11)*MIN(1,H23/2)</f>
        <v>0.16</v>
      </c>
      <c r="I26" s="15" t="n">
        <f aca="false">$B$11+($B$12-$B$11)*MIN(1,I23/2)</f>
        <v>0.16</v>
      </c>
      <c r="J26" s="15" t="n">
        <f aca="false">$B$11+($B$12-$B$11)*MIN(1,J23/2)</f>
        <v>0.16</v>
      </c>
      <c r="K26" s="15" t="n">
        <f aca="false">$B$11+($B$12-$B$11)*MIN(1,K23/2)</f>
        <v>0.16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6.05406</v>
      </c>
      <c r="C27" s="26" t="n">
        <f aca="false">C25*(C26-$B$13)</f>
        <v>7.131978</v>
      </c>
      <c r="D27" s="26" t="n">
        <f aca="false">D25*(D26-$B$13)</f>
        <v>7.470746955</v>
      </c>
      <c r="E27" s="26" t="n">
        <f aca="false">E25*(E26-$B$13)</f>
        <v>7.806930567975</v>
      </c>
      <c r="F27" s="26" t="n">
        <f aca="false">F25*(F26-$B$13)</f>
        <v>8.13872511711394</v>
      </c>
      <c r="G27" s="26" t="n">
        <f aca="false">G25*(G26-$B$13)</f>
        <v>8.4642741217985</v>
      </c>
      <c r="H27" s="26" t="n">
        <f aca="false">H25*(H26-$B$13)</f>
        <v>8.78168440136594</v>
      </c>
      <c r="I27" s="26" t="n">
        <f aca="false">I25*(I26-$B$13)</f>
        <v>9.08904335541375</v>
      </c>
      <c r="J27" s="26" t="n">
        <f aca="false">J25*(J26-$B$13)</f>
        <v>9.3844372644647</v>
      </c>
      <c r="K27" s="26" t="n">
        <f aca="false">K25*(K26-$B$13)</f>
        <v>9.66597038239864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4.7827074</v>
      </c>
      <c r="C28" s="26" t="n">
        <f aca="false">C27*(1-$B$15)</f>
        <v>5.63426262</v>
      </c>
      <c r="D28" s="26" t="n">
        <f aca="false">D27*(1-$B$15)</f>
        <v>5.90189009445</v>
      </c>
      <c r="E28" s="26" t="n">
        <f aca="false">E27*(1-$B$15)</f>
        <v>6.16747514870025</v>
      </c>
      <c r="F28" s="26" t="n">
        <f aca="false">F27*(1-$B$15)</f>
        <v>6.42959284252001</v>
      </c>
      <c r="G28" s="26" t="n">
        <f aca="false">G27*(1-$B$15)</f>
        <v>6.68677655622081</v>
      </c>
      <c r="H28" s="26" t="n">
        <f aca="false">H27*(1-$B$15)</f>
        <v>6.9375306770791</v>
      </c>
      <c r="I28" s="26" t="n">
        <f aca="false">I27*(1-$B$15)</f>
        <v>7.18034425077686</v>
      </c>
      <c r="J28" s="26" t="n">
        <f aca="false">J27*(1-$B$15)</f>
        <v>7.41370543892711</v>
      </c>
      <c r="K28" s="26" t="n">
        <f aca="false">K27*(1-$B$15)</f>
        <v>7.63611660209492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0.805000000000002</v>
      </c>
      <c r="C29" s="26" t="n">
        <f aca="false">(C25-B25)/$B$14</f>
        <v>0.615250000000001</v>
      </c>
      <c r="D29" s="26" t="n">
        <f aca="false">(D25-C25)/$B$14</f>
        <v>0.613711875000002</v>
      </c>
      <c r="E29" s="26" t="n">
        <f aca="false">(E25-D25)/$B$14</f>
        <v>0.609028284374999</v>
      </c>
      <c r="F29" s="26" t="n">
        <f aca="false">(F25-E25)/$B$14</f>
        <v>0.601077081773438</v>
      </c>
      <c r="G29" s="26" t="n">
        <f aca="false">(G25-F25)/$B$14</f>
        <v>0.589762689645939</v>
      </c>
      <c r="H29" s="26" t="n">
        <f aca="false">(H25-G25)/$B$14</f>
        <v>0.575018622404791</v>
      </c>
      <c r="I29" s="26" t="n">
        <f aca="false">(I25-H25)/$B$14</f>
        <v>0.55680969936197</v>
      </c>
      <c r="J29" s="26" t="n">
        <f aca="false">(J25-I25)/$B$14</f>
        <v>0.535133893208236</v>
      </c>
      <c r="K29" s="26" t="n">
        <f aca="false">(K25-J25)/$B$14</f>
        <v>0.510023764373081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3.9777074</v>
      </c>
      <c r="C30" s="27" t="n">
        <f aca="false">C28-C29</f>
        <v>5.01901262</v>
      </c>
      <c r="D30" s="27" t="n">
        <f aca="false">D28-D29</f>
        <v>5.28817821945</v>
      </c>
      <c r="E30" s="27" t="n">
        <f aca="false">E28-E29</f>
        <v>5.55844686432525</v>
      </c>
      <c r="F30" s="27" t="n">
        <f aca="false">F28-F29</f>
        <v>5.82851576074658</v>
      </c>
      <c r="G30" s="27" t="n">
        <f aca="false">G28-G29</f>
        <v>6.09701386657487</v>
      </c>
      <c r="H30" s="27" t="n">
        <f aca="false">H28-H29</f>
        <v>6.36251205467431</v>
      </c>
      <c r="I30" s="27" t="n">
        <f aca="false">I28-I29</f>
        <v>6.62353455141489</v>
      </c>
      <c r="J30" s="27" t="n">
        <f aca="false">J28-J29</f>
        <v>6.87857154571887</v>
      </c>
      <c r="K30" s="27" t="n">
        <f aca="false">K28-K29</f>
        <v>7.12609283772184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0.947027447620757</v>
      </c>
      <c r="C31" s="28" t="n">
        <f aca="false">1/(1+$B$17)^(C23-0.5)</f>
        <v>0.84935197096032</v>
      </c>
      <c r="D31" s="28" t="n">
        <f aca="false">1/(1+$B$17)^(D23-0.5)</f>
        <v>0.761750646601184</v>
      </c>
      <c r="E31" s="28" t="n">
        <f aca="false">1/(1+$B$17)^(E23-0.5)</f>
        <v>0.683184436413618</v>
      </c>
      <c r="F31" s="28" t="n">
        <f aca="false">1/(1+$B$17)^(F23-0.5)</f>
        <v>0.612721467635532</v>
      </c>
      <c r="G31" s="28" t="n">
        <f aca="false">1/(1+$B$17)^(G23-0.5)</f>
        <v>0.549525979942181</v>
      </c>
      <c r="H31" s="28" t="n">
        <f aca="false">1/(1+$B$17)^(H23-0.5)</f>
        <v>0.492848412504198</v>
      </c>
      <c r="I31" s="28" t="n">
        <f aca="false">1/(1+$B$17)^(I23-0.5)</f>
        <v>0.44201651345668</v>
      </c>
      <c r="J31" s="28" t="n">
        <f aca="false">1/(1+$B$17)^(J23-0.5)</f>
        <v>0.396427366328861</v>
      </c>
      <c r="K31" s="28" t="n">
        <f aca="false">1/(1+$B$17)^(K23-0.5)</f>
        <v>0.355540238859965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3.7669980864042</v>
      </c>
      <c r="C32" s="26" t="n">
        <f aca="false">C30*C31</f>
        <v>4.26290826107172</v>
      </c>
      <c r="D32" s="26" t="n">
        <f aca="false">D30*D31</f>
        <v>4.02827317800834</v>
      </c>
      <c r="E32" s="26" t="n">
        <f aca="false">E30*E31</f>
        <v>3.79744438833909</v>
      </c>
      <c r="F32" s="26" t="n">
        <f aca="false">F30*F31</f>
        <v>3.57125673106147</v>
      </c>
      <c r="G32" s="26" t="n">
        <f aca="false">G30*G31</f>
        <v>3.35046751975062</v>
      </c>
      <c r="H32" s="26" t="n">
        <f aca="false">H30*H31</f>
        <v>3.13575396568506</v>
      </c>
      <c r="I32" s="26" t="n">
        <f aca="false">I30*I31</f>
        <v>2.92771164917627</v>
      </c>
      <c r="J32" s="26" t="n">
        <f aca="false">J30*J31</f>
        <v>2.72685400197398</v>
      </c>
      <c r="K32" s="26" t="n">
        <f aca="false">K30*K31</f>
        <v>2.53361274966191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34.1012805311326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7.86520010015777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78.6520010015777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27.9639512229151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62.0652317540478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72.3352317540478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271.630611168035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0.16</v>
      </c>
    </row>
    <row r="9" customFormat="false" ht="15" hidden="false" customHeight="false" outlineLevel="0" collapsed="false">
      <c r="A9" s="9" t="s">
        <v>26</v>
      </c>
      <c r="B9" s="11" t="n">
        <v>0.14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0.23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0.097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0.16</v>
      </c>
      <c r="C24" s="15" t="n">
        <f aca="false">$B$9</f>
        <v>0.14</v>
      </c>
      <c r="D24" s="15" t="n">
        <f aca="false">$B$9+($B$10-$B$9)*(D23-2)/8</f>
        <v>0.12625</v>
      </c>
      <c r="E24" s="15" t="n">
        <f aca="false">$B$9+($B$10-$B$9)*(E23-2)/8</f>
        <v>0.1125</v>
      </c>
      <c r="F24" s="15" t="n">
        <f aca="false">$B$9+($B$10-$B$9)*(F23-2)/8</f>
        <v>0.09875</v>
      </c>
      <c r="G24" s="15" t="n">
        <f aca="false">$B$9+($B$10-$B$9)*(G23-2)/8</f>
        <v>0.085</v>
      </c>
      <c r="H24" s="15" t="n">
        <f aca="false">$B$9+($B$10-$B$9)*(H23-2)/8</f>
        <v>0.07125</v>
      </c>
      <c r="I24" s="15" t="n">
        <f aca="false">$B$9+($B$10-$B$9)*(I23-2)/8</f>
        <v>0.0575</v>
      </c>
      <c r="J24" s="15" t="n">
        <f aca="false">$B$9+($B$10-$B$9)*(J23-2)/8</f>
        <v>0.04375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53.36</v>
      </c>
      <c r="C25" s="26" t="n">
        <f aca="false">B25*(1+C24)</f>
        <v>60.8304</v>
      </c>
      <c r="D25" s="26" t="n">
        <f aca="false">C25*(1+D24)</f>
        <v>68.510238</v>
      </c>
      <c r="E25" s="26" t="n">
        <f aca="false">D25*(1+E24)</f>
        <v>76.217639775</v>
      </c>
      <c r="F25" s="26" t="n">
        <f aca="false">E25*(1+F24)</f>
        <v>83.7441317027813</v>
      </c>
      <c r="G25" s="26" t="n">
        <f aca="false">F25*(1+G24)</f>
        <v>90.8623828975177</v>
      </c>
      <c r="H25" s="26" t="n">
        <f aca="false">G25*(1+H24)</f>
        <v>97.3363276789658</v>
      </c>
      <c r="I25" s="26" t="n">
        <f aca="false">H25*(1+I24)</f>
        <v>102.933166520506</v>
      </c>
      <c r="J25" s="26" t="n">
        <f aca="false">I25*(1+J24)</f>
        <v>107.436492555778</v>
      </c>
      <c r="K25" s="26" t="n">
        <f aca="false">J25*(1+K24)</f>
        <v>110.659587332452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0.18</v>
      </c>
      <c r="C26" s="15" t="n">
        <f aca="false">$B$11+($B$12-$B$11)*MIN(1,C23/2)</f>
        <v>0.23</v>
      </c>
      <c r="D26" s="15" t="n">
        <f aca="false">$B$11+($B$12-$B$11)*MIN(1,D23/2)</f>
        <v>0.23</v>
      </c>
      <c r="E26" s="15" t="n">
        <f aca="false">$B$11+($B$12-$B$11)*MIN(1,E23/2)</f>
        <v>0.23</v>
      </c>
      <c r="F26" s="15" t="n">
        <f aca="false">$B$11+($B$12-$B$11)*MIN(1,F23/2)</f>
        <v>0.23</v>
      </c>
      <c r="G26" s="15" t="n">
        <f aca="false">$B$11+($B$12-$B$11)*MIN(1,G23/2)</f>
        <v>0.23</v>
      </c>
      <c r="H26" s="15" t="n">
        <f aca="false">$B$11+($B$12-$B$11)*MIN(1,H23/2)</f>
        <v>0.23</v>
      </c>
      <c r="I26" s="15" t="n">
        <f aca="false">$B$11+($B$12-$B$11)*MIN(1,I23/2)</f>
        <v>0.23</v>
      </c>
      <c r="J26" s="15" t="n">
        <f aca="false">$B$11+($B$12-$B$11)*MIN(1,J23/2)</f>
        <v>0.23</v>
      </c>
      <c r="K26" s="15" t="n">
        <f aca="false">$B$11+($B$12-$B$11)*MIN(1,K23/2)</f>
        <v>0.23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8.43088</v>
      </c>
      <c r="C27" s="26" t="n">
        <f aca="false">C25*(C26-$B$13)</f>
        <v>12.6527232</v>
      </c>
      <c r="D27" s="26" t="n">
        <f aca="false">D25*(D26-$B$13)</f>
        <v>14.250129504</v>
      </c>
      <c r="E27" s="26" t="n">
        <f aca="false">E25*(E26-$B$13)</f>
        <v>15.8532690732</v>
      </c>
      <c r="F27" s="26" t="n">
        <f aca="false">F25*(F26-$B$13)</f>
        <v>17.4187793941785</v>
      </c>
      <c r="G27" s="26" t="n">
        <f aca="false">G25*(G26-$B$13)</f>
        <v>18.8993756426837</v>
      </c>
      <c r="H27" s="26" t="n">
        <f aca="false">H25*(H26-$B$13)</f>
        <v>20.2459561572249</v>
      </c>
      <c r="I27" s="26" t="n">
        <f aca="false">I25*(I26-$B$13)</f>
        <v>21.4100986362653</v>
      </c>
      <c r="J27" s="26" t="n">
        <f aca="false">J25*(J26-$B$13)</f>
        <v>22.3467904516019</v>
      </c>
      <c r="K27" s="26" t="n">
        <f aca="false">K25*(K26-$B$13)</f>
        <v>23.01719416515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6.6603952</v>
      </c>
      <c r="C28" s="26" t="n">
        <f aca="false">C27*(1-$B$15)</f>
        <v>9.995651328</v>
      </c>
      <c r="D28" s="26" t="n">
        <f aca="false">D27*(1-$B$15)</f>
        <v>11.25760230816</v>
      </c>
      <c r="E28" s="26" t="n">
        <f aca="false">E27*(1-$B$15)</f>
        <v>12.524082567828</v>
      </c>
      <c r="F28" s="26" t="n">
        <f aca="false">F27*(1-$B$15)</f>
        <v>13.760835721401</v>
      </c>
      <c r="G28" s="26" t="n">
        <f aca="false">G27*(1-$B$15)</f>
        <v>14.9305067577201</v>
      </c>
      <c r="H28" s="26" t="n">
        <f aca="false">H27*(1-$B$15)</f>
        <v>15.9943053642077</v>
      </c>
      <c r="I28" s="26" t="n">
        <f aca="false">I27*(1-$B$15)</f>
        <v>16.9139779226496</v>
      </c>
      <c r="J28" s="26" t="n">
        <f aca="false">J27*(1-$B$15)</f>
        <v>17.6539644567655</v>
      </c>
      <c r="K28" s="26" t="n">
        <f aca="false">K27*(1-$B$15)</f>
        <v>18.1835833904685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1.84</v>
      </c>
      <c r="C29" s="26" t="n">
        <f aca="false">(C25-B25)/$B$14</f>
        <v>1.8676</v>
      </c>
      <c r="D29" s="26" t="n">
        <f aca="false">(D25-C25)/$B$14</f>
        <v>1.9199595</v>
      </c>
      <c r="E29" s="26" t="n">
        <f aca="false">(E25-D25)/$B$14</f>
        <v>1.92685044375</v>
      </c>
      <c r="F29" s="26" t="n">
        <f aca="false">(F25-E25)/$B$14</f>
        <v>1.88162298194531</v>
      </c>
      <c r="G29" s="26" t="n">
        <f aca="false">(G25-F25)/$B$14</f>
        <v>1.7795627986841</v>
      </c>
      <c r="H29" s="26" t="n">
        <f aca="false">(H25-G25)/$B$14</f>
        <v>1.61848619536203</v>
      </c>
      <c r="I29" s="26" t="n">
        <f aca="false">(I25-H25)/$B$14</f>
        <v>1.39920971038514</v>
      </c>
      <c r="J29" s="26" t="n">
        <f aca="false">(J25-I25)/$B$14</f>
        <v>1.12583150881804</v>
      </c>
      <c r="K29" s="26" t="n">
        <f aca="false">(K25-J25)/$B$14</f>
        <v>0.805773694168341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4.8203952</v>
      </c>
      <c r="C30" s="27" t="n">
        <f aca="false">C28-C29</f>
        <v>8.128051328</v>
      </c>
      <c r="D30" s="27" t="n">
        <f aca="false">D28-D29</f>
        <v>9.33764280816</v>
      </c>
      <c r="E30" s="27" t="n">
        <f aca="false">E28-E29</f>
        <v>10.597232124078</v>
      </c>
      <c r="F30" s="27" t="n">
        <f aca="false">F28-F29</f>
        <v>11.8792127394557</v>
      </c>
      <c r="G30" s="27" t="n">
        <f aca="false">G28-G29</f>
        <v>13.150943959036</v>
      </c>
      <c r="H30" s="27" t="n">
        <f aca="false">H28-H29</f>
        <v>14.3758191688456</v>
      </c>
      <c r="I30" s="27" t="n">
        <f aca="false">I28-I29</f>
        <v>15.5147682122645</v>
      </c>
      <c r="J30" s="27" t="n">
        <f aca="false">J28-J29</f>
        <v>16.5281329479475</v>
      </c>
      <c r="K30" s="27" t="n">
        <f aca="false">K28-K29</f>
        <v>17.3778096963002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0.954765431013758</v>
      </c>
      <c r="C31" s="28" t="n">
        <f aca="false">1/(1+$B$17)^(C23-0.5)</f>
        <v>0.870342234287838</v>
      </c>
      <c r="D31" s="28" t="n">
        <f aca="false">1/(1+$B$17)^(D23-0.5)</f>
        <v>0.793383987500308</v>
      </c>
      <c r="E31" s="28" t="n">
        <f aca="false">1/(1+$B$17)^(E23-0.5)</f>
        <v>0.723230617593718</v>
      </c>
      <c r="F31" s="28" t="n">
        <f aca="false">1/(1+$B$17)^(F23-0.5)</f>
        <v>0.659280417131921</v>
      </c>
      <c r="G31" s="28" t="n">
        <f aca="false">1/(1+$B$17)^(G23-0.5)</f>
        <v>0.600984883438397</v>
      </c>
      <c r="H31" s="28" t="n">
        <f aca="false">1/(1+$B$17)^(H23-0.5)</f>
        <v>0.547844014073288</v>
      </c>
      <c r="I31" s="28" t="n">
        <f aca="false">1/(1+$B$17)^(I23-0.5)</f>
        <v>0.499402018298348</v>
      </c>
      <c r="J31" s="28" t="n">
        <f aca="false">1/(1+$B$17)^(J23-0.5)</f>
        <v>0.455243407746899</v>
      </c>
      <c r="K31" s="28" t="n">
        <f aca="false">1/(1+$B$17)^(K23-0.5)</f>
        <v>0.414989432768367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4.60234670078465</v>
      </c>
      <c r="C32" s="26" t="n">
        <f aca="false">C30*C31</f>
        <v>7.07418635321775</v>
      </c>
      <c r="D32" s="26" t="n">
        <f aca="false">D30*D31</f>
        <v>7.40833628499156</v>
      </c>
      <c r="E32" s="26" t="n">
        <f aca="false">E30*E31</f>
        <v>7.66424273388092</v>
      </c>
      <c r="F32" s="26" t="n">
        <f aca="false">F30*F31</f>
        <v>7.83173233006719</v>
      </c>
      <c r="G32" s="26" t="n">
        <f aca="false">G30*G31</f>
        <v>7.90351852232614</v>
      </c>
      <c r="H32" s="26" t="n">
        <f aca="false">H30*H31</f>
        <v>7.8757064790521</v>
      </c>
      <c r="I32" s="26" t="n">
        <f aca="false">I30*I31</f>
        <v>7.74810655863593</v>
      </c>
      <c r="J32" s="26" t="n">
        <f aca="false">J30*J31</f>
        <v>7.52432356691741</v>
      </c>
      <c r="K32" s="26" t="n">
        <f aca="false">K30*K31</f>
        <v>7.21160738862423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72.8441069184979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18.7290908921825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237.607869527689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98.6047549965959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171.448861915094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181.718861915094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682.384010195621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2026-10-22T20:17:50Z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GE Vernova (GEV)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