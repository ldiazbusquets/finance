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<sst xmlns="http://schemas.openxmlformats.org/spreadsheetml/2006/main" count="183" uniqueCount="73">
  <si>
    <t xml:space="preserve">LDB FINANCE</t>
  </si>
  <si>
    <t xml:space="preserve">GE Vernova (GEV)</t>
  </si>
  <si>
    <t xml:space="preserve">Ten-year discounted cash flow on the company’s 2028 targets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</si>
  <si>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</si>
  <si>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</si>
  <si>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</si>
  <si>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</si>
  <si>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</si>
  <si>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</si>
  <si>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</si>
  <si>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</si>
  <si>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</si>
  <si>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</si>
  <si>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</si>
  <si>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</si>
  <si>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</si>
  <si>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</si>
  <si>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</si>
  <si>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</si>
  <si>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https://github.com/ldiazbusquets/finance/blob/main/_source/models/gev.py, and checked against it each time the file is made.</t>
  </si>
  <si>
    <t xml:space="preserve">For education only. Not investment advice.</t>
  </si>
  <si>
    <t xml:space="preserve">Base case: ten-year free cash flow to the firm, $ billions</t>
  </si>
  <si>
    <t xml:space="preserve">INPUTS</t>
  </si>
  <si>
    <t xml:space="preserve">Revenue, 2026 ($B)</t>
  </si>
  <si>
    <t xml:space="preserve">Guidance</t>
  </si>
  <si>
    <t xml:space="preserve">Revenue growth, 2027</t>
  </si>
  <si>
    <t xml:space="preserve">Revenue growth, 2028</t>
  </si>
  <si>
    <t xml:space="preserve">Then fades to terminal growth by 2036</t>
  </si>
  <si>
    <t xml:space="preserve">Terminal growth</t>
  </si>
  <si>
    <t xml:space="preserve">EBITDA margin, 2026</t>
  </si>
  <si>
    <t xml:space="preserve">EBITDA margin, 2028 target</t>
  </si>
  <si>
    <t xml:space="preserve">Company 2028 target, reached in two years</t>
  </si>
  <si>
    <t xml:space="preserve">Depreciation, share of revenue</t>
  </si>
  <si>
    <t xml:space="preserve">Sales to capital</t>
  </si>
  <si>
    <t xml:space="preserve">Reinvestment = revenue growth / 4</t>
  </si>
  <si>
    <t xml:space="preserve">Tax rate</t>
  </si>
  <si>
    <t xml:space="preserve">Return on new capital, after year 10</t>
  </si>
  <si>
    <t xml:space="preserve">CAPM with beta about 1.2; no net debt</t>
  </si>
  <si>
    <t xml:space="preserve">Net cash ($B)</t>
  </si>
  <si>
    <t xml:space="preserve">Jun 30 2026: $13.12B cash less $2.85B debt</t>
  </si>
  <si>
    <t xml:space="preserve">Diluted shares (billions)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</si>
  <si>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</si>
  <si>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</si>
  <si>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</si>
  <si>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</si>
  <si>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</si>
  <si>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</si>
  <si>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</si>
  <si>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</si>
  <si>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</si>
  <si>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</si>
  <si>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</si>
  <si>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</si>
  <si>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</si>
  <si>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Revenue growth</t>
  </si>
  <si>
    <t xml:space="preserve">Revenue ($B)</t>
  </si>
  <si>
    <t xml:space="preserve">EBITDA margin</t>
  </si>
  <si>
    <t xml:space="preserve">Operating income ($B)</t>
  </si>
  <si>
    <t xml:space="preserve">After-tax operating income ($B)</t>
  </si>
  <si>
    <t xml:space="preserve">Reinvestment ($B)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</si>
  <si>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</si>
  <si>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</si>
  <si>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</si>
  <si>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</si>
  <si>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</si>
  <si>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Year-11 after-tax operating income ($B)</t>
  </si>
  <si>
    <t xml:space="preserve">Terminal value ($B)</t>
  </si>
  <si>
    <t xml:space="preserve">NOPAT11 x (1 - g / return on new capital)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</si>
  <si>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</si>
  <si>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</si>
  <si>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</si>
  <si>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ten-year free cash flow to the firm, $ billions</t>
  </si>
  <si>
    <t xml:space="preserve">Bull case: ten-year free cash flow to the firm,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</si>
</sst>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.0;\(#,##0.0\);\-"/>
    <numFmt numFmtId="169" formatCode="0.0"/>
    <numFmt numFmtId="170" formatCode="#,##0.00;\(#,##0.00\);\-"/>
    <numFmt numFmtId="171" formatCode="0.0000"/>
    <numFmt numFmtId="172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Bear!$B$41</f>
        <v>271.630611168035</v>
      </c>
      <c r="C8" s="10" t="n">
        <f aca="false">Base!$B$41</f>
        <v>442.477151675259</v>
      </c>
      <c r="D8" s="10" t="n">
        <f aca="false">Bull!$B$41</f>
        <v>682.384010195621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459.742231178544</v>
      </c>
    </row>
    <row r="11" customFormat="false" ht="15" hidden="false" customHeight="false" outlineLevel="0" collapsed="false">
      <c r="A11" s="9" t="s">
        <v>10</v>
      </c>
      <c r="C11" s="14" t="n">
        <v>890.33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-0.483627159391974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0.085</v>
      </c>
      <c r="C16" s="18" t="n">
        <f aca="false">(SUMPRODUCT(Base!$B$30:$K$30,1/(1+B16)^(Base!$B$23:$K$23-0.5))+Base!$K$27*(1+Base!$B$10)*(1-Base!$B$15)*(1-Base!$B$10/Base!$B$16)/(B16-Base!$B$10)/(1+B16)^9.5+Base!$B$18)/Base!$B$19</f>
        <v>607.081789473388</v>
      </c>
    </row>
    <row r="17" customFormat="false" ht="15" hidden="false" customHeight="false" outlineLevel="0" collapsed="false">
      <c r="A17" s="16"/>
      <c r="B17" s="17" t="n">
        <v>0.09</v>
      </c>
      <c r="C17" s="18" t="n">
        <f aca="false">(SUMPRODUCT(Base!$B$30:$K$30,1/(1+B17)^(Base!$B$23:$K$23-0.5))+Base!$K$27*(1+Base!$B$10)*(1-Base!$B$15)*(1-Base!$B$10/Base!$B$16)/(B17-Base!$B$10)/(1+B17)^9.5+Base!$B$18)/Base!$B$19</f>
        <v>559.076009251455</v>
      </c>
    </row>
    <row r="18" customFormat="false" ht="15" hidden="false" customHeight="false" outlineLevel="0" collapsed="false">
      <c r="A18" s="16"/>
      <c r="B18" s="17" t="n">
        <v>0.095</v>
      </c>
      <c r="C18" s="18" t="n">
        <f aca="false">(SUMPRODUCT(Base!$B$30:$K$30,1/(1+B18)^(Base!$B$23:$K$23-0.5))+Base!$K$27*(1+Base!$B$10)*(1-Base!$B$15)*(1-Base!$B$10/Base!$B$16)/(B18-Base!$B$10)/(1+B18)^9.5+Base!$B$18)/Base!$B$19</f>
        <v>518.452640582566</v>
      </c>
    </row>
    <row r="19" customFormat="false" ht="15" hidden="false" customHeight="false" outlineLevel="0" collapsed="false">
      <c r="A19" s="16"/>
      <c r="B19" s="17" t="n">
        <v>0.1</v>
      </c>
      <c r="C19" s="18" t="n">
        <f aca="false">(SUMPRODUCT(Base!$B$30:$K$30,1/(1+B19)^(Base!$B$23:$K$23-0.5))+Base!$K$27*(1+Base!$B$10)*(1-Base!$B$15)*(1-Base!$B$10/Base!$B$16)/(B19-Base!$B$10)/(1+B19)^9.5+Base!$B$18)/Base!$B$19</f>
        <v>483.630899799417</v>
      </c>
    </row>
    <row r="20" customFormat="false" ht="15" hidden="false" customHeight="false" outlineLevel="0" collapsed="false">
      <c r="A20" s="16"/>
      <c r="B20" s="17" t="n">
        <v>0.107</v>
      </c>
      <c r="C20" s="18" t="n">
        <f aca="false">(SUMPRODUCT(Base!$B$30:$K$30,1/(1+B20)^(Base!$B$23:$K$23-0.5))+Base!$K$27*(1+Base!$B$10)*(1-Base!$B$15)*(1-Base!$B$10/Base!$B$16)/(B20-Base!$B$10)/(1+B20)^9.5+Base!$B$18)/Base!$B$19</f>
        <v>442.477151675259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9" t="s">
        <v>23</v>
      </c>
      <c r="B7" s="20" t="n">
        <v>46</v>
      </c>
      <c r="C7" s="19" t="s">
        <v>24</v>
      </c>
    </row>
    <row r="8" customFormat="false" ht="15" hidden="false" customHeight="false" outlineLevel="0" collapsed="false">
      <c r="A8" s="9" t="s">
        <v>25</v>
      </c>
      <c r="B8" s="11" t="n">
        <v>0.12</v>
      </c>
    </row>
    <row r="9" customFormat="false" ht="15" hidden="false" customHeight="false" outlineLevel="0" collapsed="false">
      <c r="A9" s="9" t="s">
        <v>26</v>
      </c>
      <c r="B9" s="11" t="n">
        <v>0.1</v>
      </c>
      <c r="C9" s="19" t="s">
        <v>27</v>
      </c>
    </row>
    <row r="10" customFormat="false" ht="15" hidden="false" customHeight="false" outlineLevel="0" collapsed="false">
      <c r="A10" s="9" t="s">
        <v>28</v>
      </c>
      <c r="B10" s="11" t="n">
        <v>0.03</v>
      </c>
    </row>
    <row r="11" customFormat="false" ht="15" hidden="false" customHeight="false" outlineLevel="0" collapsed="false">
      <c r="A11" s="9" t="s">
        <v>29</v>
      </c>
      <c r="B11" s="11" t="n">
        <v>0.13</v>
      </c>
    </row>
    <row r="12" customFormat="false" ht="15" hidden="false" customHeight="false" outlineLevel="0" collapsed="false">
      <c r="A12" s="9" t="s">
        <v>30</v>
      </c>
      <c r="B12" s="11" t="n">
        <v>0.2</v>
      </c>
      <c r="C12" s="19" t="s">
        <v>31</v>
      </c>
    </row>
    <row r="13" customFormat="false" ht="15" hidden="false" customHeight="false" outlineLevel="0" collapsed="false">
      <c r="A13" s="9" t="s">
        <v>32</v>
      </c>
      <c r="B13" s="11" t="n">
        <v>0.022</v>
      </c>
    </row>
    <row r="14" customFormat="false" ht="15" hidden="false" customHeight="false" outlineLevel="0" collapsed="false">
      <c r="A14" s="9" t="s">
        <v>33</v>
      </c>
      <c r="B14" s="21" t="n">
        <v>4</v>
      </c>
      <c r="C14" s="19" t="s">
        <v>34</v>
      </c>
    </row>
    <row r="15" customFormat="false" ht="15" hidden="false" customHeight="false" outlineLevel="0" collapsed="false">
      <c r="A15" s="9" t="s">
        <v>35</v>
      </c>
      <c r="B15" s="11" t="n">
        <v>0.21</v>
      </c>
    </row>
    <row r="16" customFormat="false" ht="15" hidden="false" customHeight="false" outlineLevel="0" collapsed="false">
      <c r="A16" s="9" t="s">
        <v>36</v>
      </c>
      <c r="B16" s="11" t="n">
        <v>0.2</v>
      </c>
    </row>
    <row r="17" customFormat="false" ht="15" hidden="false" customHeight="false" outlineLevel="0" collapsed="false">
      <c r="A17" s="9" t="s">
        <v>14</v>
      </c>
      <c r="B17" s="22" t="n">
        <v>0.107</v>
      </c>
      <c r="C17" s="19" t="s">
        <v>37</v>
      </c>
    </row>
    <row r="18" customFormat="false" ht="15" hidden="false" customHeight="false" outlineLevel="0" collapsed="false">
      <c r="A18" s="9" t="s">
        <v>38</v>
      </c>
      <c r="B18" s="23" t="n">
        <v>10.27</v>
      </c>
      <c r="C18" s="19" t="s">
        <v>39</v>
      </c>
    </row>
    <row r="19" customFormat="false" ht="15" hidden="false" customHeight="false" outlineLevel="0" collapsed="false">
      <c r="A19" s="9" t="s">
        <v>40</v>
      </c>
      <c r="B19" s="24" t="n">
        <v>0.2663</v>
      </c>
    </row>
    <row r="21" customFormat="false" ht="19.5" hidden="false" customHeight="true" outlineLevel="0" collapsed="false">
      <c r="A21" s="5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30" hidden="false" customHeight="true" outlineLevel="0" collapsed="false">
      <c r="A22" s="7" t="s">
        <v>42</v>
      </c>
      <c r="B22" s="8" t="s">
        <v>43</v>
      </c>
      <c r="C22" s="8" t="s">
        <v>44</v>
      </c>
      <c r="D22" s="8" t="s">
        <v>45</v>
      </c>
      <c r="E22" s="8" t="s">
        <v>46</v>
      </c>
      <c r="F22" s="8" t="s">
        <v>47</v>
      </c>
      <c r="G22" s="8" t="s">
        <v>48</v>
      </c>
      <c r="H22" s="8" t="s">
        <v>49</v>
      </c>
      <c r="I22" s="8" t="s">
        <v>50</v>
      </c>
      <c r="J22" s="8" t="s">
        <v>51</v>
      </c>
      <c r="K22" s="8" t="s">
        <v>52</v>
      </c>
    </row>
    <row r="23" customFormat="false" ht="15" hidden="false" customHeight="false" outlineLevel="0" collapsed="false">
      <c r="A23" s="9" t="s">
        <v>53</v>
      </c>
      <c r="B23" s="25" t="n">
        <v>1</v>
      </c>
      <c r="C23" s="25" t="n">
        <v>2</v>
      </c>
      <c r="D23" s="25" t="n">
        <v>3</v>
      </c>
      <c r="E23" s="25" t="n">
        <v>4</v>
      </c>
      <c r="F23" s="25" t="n">
        <v>5</v>
      </c>
      <c r="G23" s="25" t="n">
        <v>6</v>
      </c>
      <c r="H23" s="25" t="n">
        <v>7</v>
      </c>
      <c r="I23" s="25" t="n">
        <v>8</v>
      </c>
      <c r="J23" s="25" t="n">
        <v>9</v>
      </c>
      <c r="K23" s="25" t="n">
        <v>10</v>
      </c>
    </row>
    <row r="24" customFormat="false" ht="15" hidden="false" customHeight="false" outlineLevel="0" collapsed="false">
      <c r="A24" s="9" t="s">
        <v>54</v>
      </c>
      <c r="B24" s="15" t="n">
        <f aca="false">$B$8</f>
        <v>0.12</v>
      </c>
      <c r="C24" s="15" t="n">
        <f aca="false">$B$9</f>
        <v>0.1</v>
      </c>
      <c r="D24" s="15" t="n">
        <f aca="false">$B$9+($B$10-$B$9)*(D23-2)/8</f>
        <v>0.09125</v>
      </c>
      <c r="E24" s="15" t="n">
        <f aca="false">$B$9+($B$10-$B$9)*(E23-2)/8</f>
        <v>0.0825</v>
      </c>
      <c r="F24" s="15" t="n">
        <f aca="false">$B$9+($B$10-$B$9)*(F23-2)/8</f>
        <v>0.07375</v>
      </c>
      <c r="G24" s="15" t="n">
        <f aca="false">$B$9+($B$10-$B$9)*(G23-2)/8</f>
        <v>0.065</v>
      </c>
      <c r="H24" s="15" t="n">
        <f aca="false">$B$9+($B$10-$B$9)*(H23-2)/8</f>
        <v>0.05625</v>
      </c>
      <c r="I24" s="15" t="n">
        <f aca="false">$B$9+($B$10-$B$9)*(I23-2)/8</f>
        <v>0.0475</v>
      </c>
      <c r="J24" s="15" t="n">
        <f aca="false">$B$9+($B$10-$B$9)*(J23-2)/8</f>
        <v>0.03875</v>
      </c>
      <c r="K24" s="15" t="n">
        <f aca="false">$B$9+($B$10-$B$9)*(K23-2)/8</f>
        <v>0.03</v>
      </c>
    </row>
    <row r="25" customFormat="false" ht="15" hidden="false" customHeight="false" outlineLevel="0" collapsed="false">
      <c r="A25" s="9" t="s">
        <v>55</v>
      </c>
      <c r="B25" s="26" t="n">
        <f aca="false">$B$7*(1+B24)</f>
        <v>51.52</v>
      </c>
      <c r="C25" s="26" t="n">
        <f aca="false">B25*(1+C24)</f>
        <v>56.672</v>
      </c>
      <c r="D25" s="26" t="n">
        <f aca="false">C25*(1+D24)</f>
        <v>61.84332</v>
      </c>
      <c r="E25" s="26" t="n">
        <f aca="false">D25*(1+E24)</f>
        <v>66.9453939</v>
      </c>
      <c r="F25" s="26" t="n">
        <f aca="false">E25*(1+F24)</f>
        <v>71.882616700125</v>
      </c>
      <c r="G25" s="26" t="n">
        <f aca="false">F25*(1+G24)</f>
        <v>76.5549867856331</v>
      </c>
      <c r="H25" s="26" t="n">
        <f aca="false">G25*(1+H24)</f>
        <v>80.861204792325</v>
      </c>
      <c r="I25" s="26" t="n">
        <f aca="false">H25*(1+I24)</f>
        <v>84.7021120199604</v>
      </c>
      <c r="J25" s="26" t="n">
        <f aca="false">I25*(1+J24)</f>
        <v>87.9843188607339</v>
      </c>
      <c r="K25" s="26" t="n">
        <f aca="false">J25*(1+K24)</f>
        <v>90.6238484265559</v>
      </c>
    </row>
    <row r="26" customFormat="false" ht="15" hidden="false" customHeight="false" outlineLevel="0" collapsed="false">
      <c r="A26" s="9" t="s">
        <v>56</v>
      </c>
      <c r="B26" s="15" t="n">
        <f aca="false">$B$11+($B$12-$B$11)*MIN(1,B23/2)</f>
        <v>0.165</v>
      </c>
      <c r="C26" s="15" t="n">
        <f aca="false">$B$11+($B$12-$B$11)*MIN(1,C23/2)</f>
        <v>0.2</v>
      </c>
      <c r="D26" s="15" t="n">
        <f aca="false">$B$11+($B$12-$B$11)*MIN(1,D23/2)</f>
        <v>0.2</v>
      </c>
      <c r="E26" s="15" t="n">
        <f aca="false">$B$11+($B$12-$B$11)*MIN(1,E23/2)</f>
        <v>0.2</v>
      </c>
      <c r="F26" s="15" t="n">
        <f aca="false">$B$11+($B$12-$B$11)*MIN(1,F23/2)</f>
        <v>0.2</v>
      </c>
      <c r="G26" s="15" t="n">
        <f aca="false">$B$11+($B$12-$B$11)*MIN(1,G23/2)</f>
        <v>0.2</v>
      </c>
      <c r="H26" s="15" t="n">
        <f aca="false">$B$11+($B$12-$B$11)*MIN(1,H23/2)</f>
        <v>0.2</v>
      </c>
      <c r="I26" s="15" t="n">
        <f aca="false">$B$11+($B$12-$B$11)*MIN(1,I23/2)</f>
        <v>0.2</v>
      </c>
      <c r="J26" s="15" t="n">
        <f aca="false">$B$11+($B$12-$B$11)*MIN(1,J23/2)</f>
        <v>0.2</v>
      </c>
      <c r="K26" s="15" t="n">
        <f aca="false">$B$11+($B$12-$B$11)*MIN(1,K23/2)</f>
        <v>0.2</v>
      </c>
    </row>
    <row r="27" customFormat="false" ht="15" hidden="false" customHeight="false" outlineLevel="0" collapsed="false">
      <c r="A27" s="9" t="s">
        <v>57</v>
      </c>
      <c r="B27" s="26" t="n">
        <f aca="false">B25*(B26-$B$13)</f>
        <v>7.36736</v>
      </c>
      <c r="C27" s="26" t="n">
        <f aca="false">C25*(C26-$B$13)</f>
        <v>10.087616</v>
      </c>
      <c r="D27" s="26" t="n">
        <f aca="false">D25*(D26-$B$13)</f>
        <v>11.00811096</v>
      </c>
      <c r="E27" s="26" t="n">
        <f aca="false">E25*(E26-$B$13)</f>
        <v>11.9162801142</v>
      </c>
      <c r="F27" s="26" t="n">
        <f aca="false">F25*(F26-$B$13)</f>
        <v>12.7951057726223</v>
      </c>
      <c r="G27" s="26" t="n">
        <f aca="false">G25*(G26-$B$13)</f>
        <v>13.6267876478427</v>
      </c>
      <c r="H27" s="26" t="n">
        <f aca="false">H25*(H26-$B$13)</f>
        <v>14.3932944530338</v>
      </c>
      <c r="I27" s="26" t="n">
        <f aca="false">I25*(I26-$B$13)</f>
        <v>15.076975939553</v>
      </c>
      <c r="J27" s="26" t="n">
        <f aca="false">J25*(J26-$B$13)</f>
        <v>15.6612087572106</v>
      </c>
      <c r="K27" s="26" t="n">
        <f aca="false">K25*(K26-$B$13)</f>
        <v>16.131045019927</v>
      </c>
    </row>
    <row r="28" customFormat="false" ht="15" hidden="false" customHeight="false" outlineLevel="0" collapsed="false">
      <c r="A28" s="9" t="s">
        <v>58</v>
      </c>
      <c r="B28" s="26" t="n">
        <f aca="false">B27*(1-$B$15)</f>
        <v>5.8202144</v>
      </c>
      <c r="C28" s="26" t="n">
        <f aca="false">C27*(1-$B$15)</f>
        <v>7.96921664</v>
      </c>
      <c r="D28" s="26" t="n">
        <f aca="false">D27*(1-$B$15)</f>
        <v>8.6964076584</v>
      </c>
      <c r="E28" s="26" t="n">
        <f aca="false">E27*(1-$B$15)</f>
        <v>9.413861290218</v>
      </c>
      <c r="F28" s="26" t="n">
        <f aca="false">F27*(1-$B$15)</f>
        <v>10.1081335603716</v>
      </c>
      <c r="G28" s="26" t="n">
        <f aca="false">G27*(1-$B$15)</f>
        <v>10.7651622417957</v>
      </c>
      <c r="H28" s="26" t="n">
        <f aca="false">H27*(1-$B$15)</f>
        <v>11.3707026178967</v>
      </c>
      <c r="I28" s="26" t="n">
        <f aca="false">I27*(1-$B$15)</f>
        <v>11.9108109922468</v>
      </c>
      <c r="J28" s="26" t="n">
        <f aca="false">J27*(1-$B$15)</f>
        <v>12.3723549181964</v>
      </c>
      <c r="K28" s="26" t="n">
        <f aca="false">K27*(1-$B$15)</f>
        <v>12.7435255657423</v>
      </c>
    </row>
    <row r="29" customFormat="false" ht="15" hidden="false" customHeight="false" outlineLevel="0" collapsed="false">
      <c r="A29" s="9" t="s">
        <v>59</v>
      </c>
      <c r="B29" s="26" t="n">
        <f aca="false">(B25-$B$7)/$B$14</f>
        <v>1.38</v>
      </c>
      <c r="C29" s="26" t="n">
        <f aca="false">(C25-B25)/$B$14</f>
        <v>1.288</v>
      </c>
      <c r="D29" s="26" t="n">
        <f aca="false">(D25-C25)/$B$14</f>
        <v>1.29283</v>
      </c>
      <c r="E29" s="26" t="n">
        <f aca="false">(E25-D25)/$B$14</f>
        <v>1.275518475</v>
      </c>
      <c r="F29" s="26" t="n">
        <f aca="false">(F25-E25)/$B$14</f>
        <v>1.23430570003125</v>
      </c>
      <c r="G29" s="26" t="n">
        <f aca="false">(G25-F25)/$B$14</f>
        <v>1.16809252137703</v>
      </c>
      <c r="H29" s="26" t="n">
        <f aca="false">(H25-G25)/$B$14</f>
        <v>1.07655450167296</v>
      </c>
      <c r="I29" s="26" t="n">
        <f aca="false">(I25-H25)/$B$14</f>
        <v>0.96022680690886</v>
      </c>
      <c r="J29" s="26" t="n">
        <f aca="false">(J25-I25)/$B$14</f>
        <v>0.820551710193367</v>
      </c>
      <c r="K29" s="26" t="n">
        <f aca="false">(K25-J25)/$B$14</f>
        <v>0.659882391455504</v>
      </c>
    </row>
    <row r="30" customFormat="false" ht="15" hidden="false" customHeight="false" outlineLevel="0" collapsed="false">
      <c r="A30" s="12" t="s">
        <v>60</v>
      </c>
      <c r="B30" s="27" t="n">
        <f aca="false">B28-B29</f>
        <v>4.4402144</v>
      </c>
      <c r="C30" s="27" t="n">
        <f aca="false">C28-C29</f>
        <v>6.68121664</v>
      </c>
      <c r="D30" s="27" t="n">
        <f aca="false">D28-D29</f>
        <v>7.4035776584</v>
      </c>
      <c r="E30" s="27" t="n">
        <f aca="false">E28-E29</f>
        <v>8.138342815218</v>
      </c>
      <c r="F30" s="27" t="n">
        <f aca="false">F28-F29</f>
        <v>8.87382786034033</v>
      </c>
      <c r="G30" s="27" t="n">
        <f aca="false">G28-G29</f>
        <v>9.5970697204187</v>
      </c>
      <c r="H30" s="27" t="n">
        <f aca="false">H28-H29</f>
        <v>10.2941481162238</v>
      </c>
      <c r="I30" s="27" t="n">
        <f aca="false">I28-I29</f>
        <v>10.950584185338</v>
      </c>
      <c r="J30" s="27" t="n">
        <f aca="false">J28-J29</f>
        <v>11.551803208003</v>
      </c>
      <c r="K30" s="27" t="n">
        <f aca="false">K28-K29</f>
        <v>12.0836431742868</v>
      </c>
    </row>
    <row r="31" customFormat="false" ht="15" hidden="false" customHeight="false" outlineLevel="0" collapsed="false">
      <c r="A31" s="9" t="s">
        <v>61</v>
      </c>
      <c r="B31" s="28" t="n">
        <f aca="false">1/(1+$B$17)^(B23-0.5)</f>
        <v>0.950443247520335</v>
      </c>
      <c r="C31" s="28" t="n">
        <f aca="false">1/(1+$B$17)^(C23-0.5)</f>
        <v>0.85857565268323</v>
      </c>
      <c r="D31" s="28" t="n">
        <f aca="false">1/(1+$B$17)^(D23-0.5)</f>
        <v>0.775587762134805</v>
      </c>
      <c r="E31" s="28" t="n">
        <f aca="false">1/(1+$B$17)^(E23-0.5)</f>
        <v>0.700621284674621</v>
      </c>
      <c r="F31" s="28" t="n">
        <f aca="false">1/(1+$B$17)^(F23-0.5)</f>
        <v>0.632900889498303</v>
      </c>
      <c r="G31" s="28" t="n">
        <f aca="false">1/(1+$B$17)^(G23-0.5)</f>
        <v>0.571726187442008</v>
      </c>
      <c r="H31" s="28" t="n">
        <f aca="false">1/(1+$B$17)^(H23-0.5)</f>
        <v>0.51646448730082</v>
      </c>
      <c r="I31" s="28" t="n">
        <f aca="false">1/(1+$B$17)^(I23-0.5)</f>
        <v>0.466544252304264</v>
      </c>
      <c r="J31" s="28" t="n">
        <f aca="false">1/(1+$B$17)^(J23-0.5)</f>
        <v>0.421449189073409</v>
      </c>
      <c r="K31" s="28" t="n">
        <f aca="false">1/(1+$B$17)^(K23-0.5)</f>
        <v>0.380712907925392</v>
      </c>
    </row>
    <row r="32" customFormat="false" ht="15" hidden="false" customHeight="false" outlineLevel="0" collapsed="false">
      <c r="A32" s="9" t="s">
        <v>62</v>
      </c>
      <c r="B32" s="26" t="n">
        <f aca="false">B30*B31</f>
        <v>4.22017179402256</v>
      </c>
      <c r="C32" s="26" t="n">
        <f aca="false">C30*C31</f>
        <v>5.73632993740606</v>
      </c>
      <c r="D32" s="26" t="n">
        <f aca="false">D30*D31</f>
        <v>5.7421242278697</v>
      </c>
      <c r="E32" s="26" t="n">
        <f aca="false">E30*E31</f>
        <v>5.70189619832051</v>
      </c>
      <c r="F32" s="26" t="n">
        <f aca="false">F30*F31</f>
        <v>5.61625354606422</v>
      </c>
      <c r="G32" s="26" t="n">
        <f aca="false">G30*G31</f>
        <v>5.48689608187012</v>
      </c>
      <c r="H32" s="26" t="n">
        <f aca="false">H30*H31</f>
        <v>5.31656192904422</v>
      </c>
      <c r="I32" s="26" t="n">
        <f aca="false">I30*I31</f>
        <v>5.1089321110434</v>
      </c>
      <c r="J32" s="26" t="n">
        <f aca="false">J30*J31</f>
        <v>4.86849809434848</v>
      </c>
      <c r="K32" s="26" t="n">
        <f aca="false">K30*K31</f>
        <v>4.60039893121554</v>
      </c>
    </row>
    <row r="34" customFormat="false" ht="19.5" hidden="false" customHeight="true" outlineLevel="0" collapsed="false">
      <c r="A34" s="5" t="s">
        <v>63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false" outlineLevel="0" collapsed="false">
      <c r="A35" s="9" t="s">
        <v>64</v>
      </c>
      <c r="B35" s="26" t="n">
        <f aca="false">SUM(B32:K32)</f>
        <v>52.3980628512048</v>
      </c>
    </row>
    <row r="36" customFormat="false" ht="15" hidden="false" customHeight="false" outlineLevel="0" collapsed="false">
      <c r="A36" s="9" t="s">
        <v>65</v>
      </c>
      <c r="B36" s="26" t="n">
        <f aca="false">K27*(1+$B$10)*(1-$B$15)</f>
        <v>13.1258313327146</v>
      </c>
    </row>
    <row r="37" customFormat="false" ht="15" hidden="false" customHeight="false" outlineLevel="0" collapsed="false">
      <c r="A37" s="9" t="s">
        <v>66</v>
      </c>
      <c r="B37" s="26" t="n">
        <f aca="false">B36*(1-$B$10/$B$16)/($B$17-$B$10)</f>
        <v>144.89554068581</v>
      </c>
      <c r="C37" s="19" t="s">
        <v>67</v>
      </c>
    </row>
    <row r="38" customFormat="false" ht="15" hidden="false" customHeight="false" outlineLevel="0" collapsed="false">
      <c r="A38" s="9" t="s">
        <v>68</v>
      </c>
      <c r="B38" s="26" t="n">
        <f aca="false">B37/(1+$B$17)^9.5</f>
        <v>55.1636026399167</v>
      </c>
    </row>
    <row r="39" customFormat="false" ht="15" hidden="false" customHeight="false" outlineLevel="0" collapsed="false">
      <c r="A39" s="9" t="s">
        <v>69</v>
      </c>
      <c r="B39" s="26" t="n">
        <f aca="false">B35+B38</f>
        <v>107.561665491122</v>
      </c>
    </row>
    <row r="40" customFormat="false" ht="15" hidden="false" customHeight="false" outlineLevel="0" collapsed="false">
      <c r="A40" s="9" t="s">
        <v>70</v>
      </c>
      <c r="B40" s="26" t="n">
        <f aca="false">B39+$B$18</f>
        <v>117.831665491122</v>
      </c>
    </row>
    <row r="41" customFormat="false" ht="15" hidden="false" customHeight="false" outlineLevel="0" collapsed="false">
      <c r="A41" s="12" t="s">
        <v>15</v>
      </c>
      <c r="B41" s="13" t="n">
        <f aca="false">B40/$B$19</f>
        <v>442.477151675259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9" t="s">
        <v>23</v>
      </c>
      <c r="B7" s="20" t="n">
        <v>46</v>
      </c>
      <c r="C7" s="19" t="s">
        <v>24</v>
      </c>
    </row>
    <row r="8" customFormat="false" ht="15" hidden="false" customHeight="false" outlineLevel="0" collapsed="false">
      <c r="A8" s="9" t="s">
        <v>25</v>
      </c>
      <c r="B8" s="11" t="n">
        <v>0.07</v>
      </c>
    </row>
    <row r="9" customFormat="false" ht="15" hidden="false" customHeight="false" outlineLevel="0" collapsed="false">
      <c r="A9" s="9" t="s">
        <v>26</v>
      </c>
      <c r="B9" s="11" t="n">
        <v>0.05</v>
      </c>
      <c r="C9" s="19" t="s">
        <v>27</v>
      </c>
    </row>
    <row r="10" customFormat="false" ht="15" hidden="false" customHeight="false" outlineLevel="0" collapsed="false">
      <c r="A10" s="9" t="s">
        <v>28</v>
      </c>
      <c r="B10" s="11" t="n">
        <v>0.03</v>
      </c>
    </row>
    <row r="11" customFormat="false" ht="15" hidden="false" customHeight="false" outlineLevel="0" collapsed="false">
      <c r="A11" s="9" t="s">
        <v>29</v>
      </c>
      <c r="B11" s="11" t="n">
        <v>0.13</v>
      </c>
    </row>
    <row r="12" customFormat="false" ht="15" hidden="false" customHeight="false" outlineLevel="0" collapsed="false">
      <c r="A12" s="9" t="s">
        <v>30</v>
      </c>
      <c r="B12" s="11" t="n">
        <v>0.16</v>
      </c>
      <c r="C12" s="19" t="s">
        <v>31</v>
      </c>
    </row>
    <row r="13" customFormat="false" ht="15" hidden="false" customHeight="false" outlineLevel="0" collapsed="false">
      <c r="A13" s="9" t="s">
        <v>32</v>
      </c>
      <c r="B13" s="11" t="n">
        <v>0.022</v>
      </c>
    </row>
    <row r="14" customFormat="false" ht="15" hidden="false" customHeight="false" outlineLevel="0" collapsed="false">
      <c r="A14" s="9" t="s">
        <v>33</v>
      </c>
      <c r="B14" s="21" t="n">
        <v>4</v>
      </c>
      <c r="C14" s="19" t="s">
        <v>34</v>
      </c>
    </row>
    <row r="15" customFormat="false" ht="15" hidden="false" customHeight="false" outlineLevel="0" collapsed="false">
      <c r="A15" s="9" t="s">
        <v>35</v>
      </c>
      <c r="B15" s="11" t="n">
        <v>0.21</v>
      </c>
    </row>
    <row r="16" customFormat="false" ht="15" hidden="false" customHeight="false" outlineLevel="0" collapsed="false">
      <c r="A16" s="9" t="s">
        <v>36</v>
      </c>
      <c r="B16" s="11" t="n">
        <v>0.2</v>
      </c>
    </row>
    <row r="17" customFormat="false" ht="15" hidden="false" customHeight="false" outlineLevel="0" collapsed="false">
      <c r="A17" s="9" t="s">
        <v>14</v>
      </c>
      <c r="B17" s="22" t="n">
        <v>0.115</v>
      </c>
      <c r="C17" s="19" t="s">
        <v>37</v>
      </c>
    </row>
    <row r="18" customFormat="false" ht="15" hidden="false" customHeight="false" outlineLevel="0" collapsed="false">
      <c r="A18" s="9" t="s">
        <v>38</v>
      </c>
      <c r="B18" s="23" t="n">
        <v>10.27</v>
      </c>
      <c r="C18" s="19" t="s">
        <v>39</v>
      </c>
    </row>
    <row r="19" customFormat="false" ht="15" hidden="false" customHeight="false" outlineLevel="0" collapsed="false">
      <c r="A19" s="9" t="s">
        <v>40</v>
      </c>
      <c r="B19" s="24" t="n">
        <v>0.2663</v>
      </c>
    </row>
    <row r="21" customFormat="false" ht="19.5" hidden="false" customHeight="true" outlineLevel="0" collapsed="false">
      <c r="A21" s="5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30" hidden="false" customHeight="true" outlineLevel="0" collapsed="false">
      <c r="A22" s="7" t="s">
        <v>42</v>
      </c>
      <c r="B22" s="8" t="s">
        <v>43</v>
      </c>
      <c r="C22" s="8" t="s">
        <v>44</v>
      </c>
      <c r="D22" s="8" t="s">
        <v>45</v>
      </c>
      <c r="E22" s="8" t="s">
        <v>46</v>
      </c>
      <c r="F22" s="8" t="s">
        <v>47</v>
      </c>
      <c r="G22" s="8" t="s">
        <v>48</v>
      </c>
      <c r="H22" s="8" t="s">
        <v>49</v>
      </c>
      <c r="I22" s="8" t="s">
        <v>50</v>
      </c>
      <c r="J22" s="8" t="s">
        <v>51</v>
      </c>
      <c r="K22" s="8" t="s">
        <v>52</v>
      </c>
    </row>
    <row r="23" customFormat="false" ht="15" hidden="false" customHeight="false" outlineLevel="0" collapsed="false">
      <c r="A23" s="9" t="s">
        <v>53</v>
      </c>
      <c r="B23" s="25" t="n">
        <v>1</v>
      </c>
      <c r="C23" s="25" t="n">
        <v>2</v>
      </c>
      <c r="D23" s="25" t="n">
        <v>3</v>
      </c>
      <c r="E23" s="25" t="n">
        <v>4</v>
      </c>
      <c r="F23" s="25" t="n">
        <v>5</v>
      </c>
      <c r="G23" s="25" t="n">
        <v>6</v>
      </c>
      <c r="H23" s="25" t="n">
        <v>7</v>
      </c>
      <c r="I23" s="25" t="n">
        <v>8</v>
      </c>
      <c r="J23" s="25" t="n">
        <v>9</v>
      </c>
      <c r="K23" s="25" t="n">
        <v>10</v>
      </c>
    </row>
    <row r="24" customFormat="false" ht="15" hidden="false" customHeight="false" outlineLevel="0" collapsed="false">
      <c r="A24" s="9" t="s">
        <v>54</v>
      </c>
      <c r="B24" s="15" t="n">
        <f aca="false">$B$8</f>
        <v>0.07</v>
      </c>
      <c r="C24" s="15" t="n">
        <f aca="false">$B$9</f>
        <v>0.05</v>
      </c>
      <c r="D24" s="15" t="n">
        <f aca="false">$B$9+($B$10-$B$9)*(D23-2)/8</f>
        <v>0.0475</v>
      </c>
      <c r="E24" s="15" t="n">
        <f aca="false">$B$9+($B$10-$B$9)*(E23-2)/8</f>
        <v>0.045</v>
      </c>
      <c r="F24" s="15" t="n">
        <f aca="false">$B$9+($B$10-$B$9)*(F23-2)/8</f>
        <v>0.0425</v>
      </c>
      <c r="G24" s="15" t="n">
        <f aca="false">$B$9+($B$10-$B$9)*(G23-2)/8</f>
        <v>0.04</v>
      </c>
      <c r="H24" s="15" t="n">
        <f aca="false">$B$9+($B$10-$B$9)*(H23-2)/8</f>
        <v>0.0375</v>
      </c>
      <c r="I24" s="15" t="n">
        <f aca="false">$B$9+($B$10-$B$9)*(I23-2)/8</f>
        <v>0.035</v>
      </c>
      <c r="J24" s="15" t="n">
        <f aca="false">$B$9+($B$10-$B$9)*(J23-2)/8</f>
        <v>0.0325</v>
      </c>
      <c r="K24" s="15" t="n">
        <f aca="false">$B$9+($B$10-$B$9)*(K23-2)/8</f>
        <v>0.03</v>
      </c>
    </row>
    <row r="25" customFormat="false" ht="15" hidden="false" customHeight="false" outlineLevel="0" collapsed="false">
      <c r="A25" s="9" t="s">
        <v>55</v>
      </c>
      <c r="B25" s="26" t="n">
        <f aca="false">$B$7*(1+B24)</f>
        <v>49.22</v>
      </c>
      <c r="C25" s="26" t="n">
        <f aca="false">B25*(1+C24)</f>
        <v>51.681</v>
      </c>
      <c r="D25" s="26" t="n">
        <f aca="false">C25*(1+D24)</f>
        <v>54.1358475</v>
      </c>
      <c r="E25" s="26" t="n">
        <f aca="false">D25*(1+E24)</f>
        <v>56.5719606375</v>
      </c>
      <c r="F25" s="26" t="n">
        <f aca="false">E25*(1+F24)</f>
        <v>58.9762689645938</v>
      </c>
      <c r="G25" s="26" t="n">
        <f aca="false">F25*(1+G24)</f>
        <v>61.3353197231775</v>
      </c>
      <c r="H25" s="26" t="n">
        <f aca="false">G25*(1+H24)</f>
        <v>63.6353942127967</v>
      </c>
      <c r="I25" s="26" t="n">
        <f aca="false">H25*(1+I24)</f>
        <v>65.8626330102446</v>
      </c>
      <c r="J25" s="26" t="n">
        <f aca="false">I25*(1+J24)</f>
        <v>68.0031685830775</v>
      </c>
      <c r="K25" s="26" t="n">
        <f aca="false">J25*(1+K24)</f>
        <v>70.0432636405698</v>
      </c>
    </row>
    <row r="26" customFormat="false" ht="15" hidden="false" customHeight="false" outlineLevel="0" collapsed="false">
      <c r="A26" s="9" t="s">
        <v>56</v>
      </c>
      <c r="B26" s="15" t="n">
        <f aca="false">$B$11+($B$12-$B$11)*MIN(1,B23/2)</f>
        <v>0.145</v>
      </c>
      <c r="C26" s="15" t="n">
        <f aca="false">$B$11+($B$12-$B$11)*MIN(1,C23/2)</f>
        <v>0.16</v>
      </c>
      <c r="D26" s="15" t="n">
        <f aca="false">$B$11+($B$12-$B$11)*MIN(1,D23/2)</f>
        <v>0.16</v>
      </c>
      <c r="E26" s="15" t="n">
        <f aca="false">$B$11+($B$12-$B$11)*MIN(1,E23/2)</f>
        <v>0.16</v>
      </c>
      <c r="F26" s="15" t="n">
        <f aca="false">$B$11+($B$12-$B$11)*MIN(1,F23/2)</f>
        <v>0.16</v>
      </c>
      <c r="G26" s="15" t="n">
        <f aca="false">$B$11+($B$12-$B$11)*MIN(1,G23/2)</f>
        <v>0.16</v>
      </c>
      <c r="H26" s="15" t="n">
        <f aca="false">$B$11+($B$12-$B$11)*MIN(1,H23/2)</f>
        <v>0.16</v>
      </c>
      <c r="I26" s="15" t="n">
        <f aca="false">$B$11+($B$12-$B$11)*MIN(1,I23/2)</f>
        <v>0.16</v>
      </c>
      <c r="J26" s="15" t="n">
        <f aca="false">$B$11+($B$12-$B$11)*MIN(1,J23/2)</f>
        <v>0.16</v>
      </c>
      <c r="K26" s="15" t="n">
        <f aca="false">$B$11+($B$12-$B$11)*MIN(1,K23/2)</f>
        <v>0.16</v>
      </c>
    </row>
    <row r="27" customFormat="false" ht="15" hidden="false" customHeight="false" outlineLevel="0" collapsed="false">
      <c r="A27" s="9" t="s">
        <v>57</v>
      </c>
      <c r="B27" s="26" t="n">
        <f aca="false">B25*(B26-$B$13)</f>
        <v>6.05406</v>
      </c>
      <c r="C27" s="26" t="n">
        <f aca="false">C25*(C26-$B$13)</f>
        <v>7.131978</v>
      </c>
      <c r="D27" s="26" t="n">
        <f aca="false">D25*(D26-$B$13)</f>
        <v>7.470746955</v>
      </c>
      <c r="E27" s="26" t="n">
        <f aca="false">E25*(E26-$B$13)</f>
        <v>7.806930567975</v>
      </c>
      <c r="F27" s="26" t="n">
        <f aca="false">F25*(F26-$B$13)</f>
        <v>8.13872511711394</v>
      </c>
      <c r="G27" s="26" t="n">
        <f aca="false">G25*(G26-$B$13)</f>
        <v>8.4642741217985</v>
      </c>
      <c r="H27" s="26" t="n">
        <f aca="false">H25*(H26-$B$13)</f>
        <v>8.78168440136594</v>
      </c>
      <c r="I27" s="26" t="n">
        <f aca="false">I25*(I26-$B$13)</f>
        <v>9.08904335541375</v>
      </c>
      <c r="J27" s="26" t="n">
        <f aca="false">J25*(J26-$B$13)</f>
        <v>9.3844372644647</v>
      </c>
      <c r="K27" s="26" t="n">
        <f aca="false">K25*(K26-$B$13)</f>
        <v>9.66597038239864</v>
      </c>
    </row>
    <row r="28" customFormat="false" ht="15" hidden="false" customHeight="false" outlineLevel="0" collapsed="false">
      <c r="A28" s="9" t="s">
        <v>58</v>
      </c>
      <c r="B28" s="26" t="n">
        <f aca="false">B27*(1-$B$15)</f>
        <v>4.7827074</v>
      </c>
      <c r="C28" s="26" t="n">
        <f aca="false">C27*(1-$B$15)</f>
        <v>5.63426262</v>
      </c>
      <c r="D28" s="26" t="n">
        <f aca="false">D27*(1-$B$15)</f>
        <v>5.90189009445</v>
      </c>
      <c r="E28" s="26" t="n">
        <f aca="false">E27*(1-$B$15)</f>
        <v>6.16747514870025</v>
      </c>
      <c r="F28" s="26" t="n">
        <f aca="false">F27*(1-$B$15)</f>
        <v>6.42959284252001</v>
      </c>
      <c r="G28" s="26" t="n">
        <f aca="false">G27*(1-$B$15)</f>
        <v>6.68677655622081</v>
      </c>
      <c r="H28" s="26" t="n">
        <f aca="false">H27*(1-$B$15)</f>
        <v>6.9375306770791</v>
      </c>
      <c r="I28" s="26" t="n">
        <f aca="false">I27*(1-$B$15)</f>
        <v>7.18034425077686</v>
      </c>
      <c r="J28" s="26" t="n">
        <f aca="false">J27*(1-$B$15)</f>
        <v>7.41370543892711</v>
      </c>
      <c r="K28" s="26" t="n">
        <f aca="false">K27*(1-$B$15)</f>
        <v>7.63611660209492</v>
      </c>
    </row>
    <row r="29" customFormat="false" ht="15" hidden="false" customHeight="false" outlineLevel="0" collapsed="false">
      <c r="A29" s="9" t="s">
        <v>59</v>
      </c>
      <c r="B29" s="26" t="n">
        <f aca="false">(B25-$B$7)/$B$14</f>
        <v>0.805000000000002</v>
      </c>
      <c r="C29" s="26" t="n">
        <f aca="false">(C25-B25)/$B$14</f>
        <v>0.615250000000001</v>
      </c>
      <c r="D29" s="26" t="n">
        <f aca="false">(D25-C25)/$B$14</f>
        <v>0.613711875000002</v>
      </c>
      <c r="E29" s="26" t="n">
        <f aca="false">(E25-D25)/$B$14</f>
        <v>0.609028284374999</v>
      </c>
      <c r="F29" s="26" t="n">
        <f aca="false">(F25-E25)/$B$14</f>
        <v>0.601077081773438</v>
      </c>
      <c r="G29" s="26" t="n">
        <f aca="false">(G25-F25)/$B$14</f>
        <v>0.589762689645939</v>
      </c>
      <c r="H29" s="26" t="n">
        <f aca="false">(H25-G25)/$B$14</f>
        <v>0.575018622404791</v>
      </c>
      <c r="I29" s="26" t="n">
        <f aca="false">(I25-H25)/$B$14</f>
        <v>0.55680969936197</v>
      </c>
      <c r="J29" s="26" t="n">
        <f aca="false">(J25-I25)/$B$14</f>
        <v>0.535133893208236</v>
      </c>
      <c r="K29" s="26" t="n">
        <f aca="false">(K25-J25)/$B$14</f>
        <v>0.510023764373081</v>
      </c>
    </row>
    <row r="30" customFormat="false" ht="15" hidden="false" customHeight="false" outlineLevel="0" collapsed="false">
      <c r="A30" s="12" t="s">
        <v>60</v>
      </c>
      <c r="B30" s="27" t="n">
        <f aca="false">B28-B29</f>
        <v>3.9777074</v>
      </c>
      <c r="C30" s="27" t="n">
        <f aca="false">C28-C29</f>
        <v>5.01901262</v>
      </c>
      <c r="D30" s="27" t="n">
        <f aca="false">D28-D29</f>
        <v>5.28817821945</v>
      </c>
      <c r="E30" s="27" t="n">
        <f aca="false">E28-E29</f>
        <v>5.55844686432525</v>
      </c>
      <c r="F30" s="27" t="n">
        <f aca="false">F28-F29</f>
        <v>5.82851576074658</v>
      </c>
      <c r="G30" s="27" t="n">
        <f aca="false">G28-G29</f>
        <v>6.09701386657487</v>
      </c>
      <c r="H30" s="27" t="n">
        <f aca="false">H28-H29</f>
        <v>6.36251205467431</v>
      </c>
      <c r="I30" s="27" t="n">
        <f aca="false">I28-I29</f>
        <v>6.62353455141489</v>
      </c>
      <c r="J30" s="27" t="n">
        <f aca="false">J28-J29</f>
        <v>6.87857154571887</v>
      </c>
      <c r="K30" s="27" t="n">
        <f aca="false">K28-K29</f>
        <v>7.12609283772184</v>
      </c>
    </row>
    <row r="31" customFormat="false" ht="15" hidden="false" customHeight="false" outlineLevel="0" collapsed="false">
      <c r="A31" s="9" t="s">
        <v>61</v>
      </c>
      <c r="B31" s="28" t="n">
        <f aca="false">1/(1+$B$17)^(B23-0.5)</f>
        <v>0.947027447620757</v>
      </c>
      <c r="C31" s="28" t="n">
        <f aca="false">1/(1+$B$17)^(C23-0.5)</f>
        <v>0.84935197096032</v>
      </c>
      <c r="D31" s="28" t="n">
        <f aca="false">1/(1+$B$17)^(D23-0.5)</f>
        <v>0.761750646601184</v>
      </c>
      <c r="E31" s="28" t="n">
        <f aca="false">1/(1+$B$17)^(E23-0.5)</f>
        <v>0.683184436413618</v>
      </c>
      <c r="F31" s="28" t="n">
        <f aca="false">1/(1+$B$17)^(F23-0.5)</f>
        <v>0.612721467635532</v>
      </c>
      <c r="G31" s="28" t="n">
        <f aca="false">1/(1+$B$17)^(G23-0.5)</f>
        <v>0.549525979942181</v>
      </c>
      <c r="H31" s="28" t="n">
        <f aca="false">1/(1+$B$17)^(H23-0.5)</f>
        <v>0.492848412504198</v>
      </c>
      <c r="I31" s="28" t="n">
        <f aca="false">1/(1+$B$17)^(I23-0.5)</f>
        <v>0.44201651345668</v>
      </c>
      <c r="J31" s="28" t="n">
        <f aca="false">1/(1+$B$17)^(J23-0.5)</f>
        <v>0.396427366328861</v>
      </c>
      <c r="K31" s="28" t="n">
        <f aca="false">1/(1+$B$17)^(K23-0.5)</f>
        <v>0.355540238859965</v>
      </c>
    </row>
    <row r="32" customFormat="false" ht="15" hidden="false" customHeight="false" outlineLevel="0" collapsed="false">
      <c r="A32" s="9" t="s">
        <v>62</v>
      </c>
      <c r="B32" s="26" t="n">
        <f aca="false">B30*B31</f>
        <v>3.7669980864042</v>
      </c>
      <c r="C32" s="26" t="n">
        <f aca="false">C30*C31</f>
        <v>4.26290826107172</v>
      </c>
      <c r="D32" s="26" t="n">
        <f aca="false">D30*D31</f>
        <v>4.02827317800834</v>
      </c>
      <c r="E32" s="26" t="n">
        <f aca="false">E30*E31</f>
        <v>3.79744438833909</v>
      </c>
      <c r="F32" s="26" t="n">
        <f aca="false">F30*F31</f>
        <v>3.57125673106147</v>
      </c>
      <c r="G32" s="26" t="n">
        <f aca="false">G30*G31</f>
        <v>3.35046751975062</v>
      </c>
      <c r="H32" s="26" t="n">
        <f aca="false">H30*H31</f>
        <v>3.13575396568506</v>
      </c>
      <c r="I32" s="26" t="n">
        <f aca="false">I30*I31</f>
        <v>2.92771164917627</v>
      </c>
      <c r="J32" s="26" t="n">
        <f aca="false">J30*J31</f>
        <v>2.72685400197398</v>
      </c>
      <c r="K32" s="26" t="n">
        <f aca="false">K30*K31</f>
        <v>2.53361274966191</v>
      </c>
    </row>
    <row r="34" customFormat="false" ht="19.5" hidden="false" customHeight="true" outlineLevel="0" collapsed="false">
      <c r="A34" s="5" t="s">
        <v>63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false" outlineLevel="0" collapsed="false">
      <c r="A35" s="9" t="s">
        <v>64</v>
      </c>
      <c r="B35" s="26" t="n">
        <f aca="false">SUM(B32:K32)</f>
        <v>34.1012805311326</v>
      </c>
    </row>
    <row r="36" customFormat="false" ht="15" hidden="false" customHeight="false" outlineLevel="0" collapsed="false">
      <c r="A36" s="9" t="s">
        <v>65</v>
      </c>
      <c r="B36" s="26" t="n">
        <f aca="false">K27*(1+$B$10)*(1-$B$15)</f>
        <v>7.86520010015777</v>
      </c>
    </row>
    <row r="37" customFormat="false" ht="15" hidden="false" customHeight="false" outlineLevel="0" collapsed="false">
      <c r="A37" s="9" t="s">
        <v>66</v>
      </c>
      <c r="B37" s="26" t="n">
        <f aca="false">B36*(1-$B$10/$B$16)/($B$17-$B$10)</f>
        <v>78.6520010015777</v>
      </c>
      <c r="C37" s="19" t="s">
        <v>67</v>
      </c>
    </row>
    <row r="38" customFormat="false" ht="15" hidden="false" customHeight="false" outlineLevel="0" collapsed="false">
      <c r="A38" s="9" t="s">
        <v>68</v>
      </c>
      <c r="B38" s="26" t="n">
        <f aca="false">B37/(1+$B$17)^9.5</f>
        <v>27.9639512229151</v>
      </c>
    </row>
    <row r="39" customFormat="false" ht="15" hidden="false" customHeight="false" outlineLevel="0" collapsed="false">
      <c r="A39" s="9" t="s">
        <v>69</v>
      </c>
      <c r="B39" s="26" t="n">
        <f aca="false">B35+B38</f>
        <v>62.0652317540478</v>
      </c>
    </row>
    <row r="40" customFormat="false" ht="15" hidden="false" customHeight="false" outlineLevel="0" collapsed="false">
      <c r="A40" s="9" t="s">
        <v>70</v>
      </c>
      <c r="B40" s="26" t="n">
        <f aca="false">B39+$B$18</f>
        <v>72.3352317540478</v>
      </c>
    </row>
    <row r="41" customFormat="false" ht="15" hidden="false" customHeight="false" outlineLevel="0" collapsed="false">
      <c r="A41" s="12" t="s">
        <v>15</v>
      </c>
      <c r="B41" s="13" t="n">
        <f aca="false">B40/$B$19</f>
        <v>271.630611168035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9" t="s">
        <v>23</v>
      </c>
      <c r="B7" s="20" t="n">
        <v>46</v>
      </c>
      <c r="C7" s="19" t="s">
        <v>24</v>
      </c>
    </row>
    <row r="8" customFormat="false" ht="15" hidden="false" customHeight="false" outlineLevel="0" collapsed="false">
      <c r="A8" s="9" t="s">
        <v>25</v>
      </c>
      <c r="B8" s="11" t="n">
        <v>0.16</v>
      </c>
    </row>
    <row r="9" customFormat="false" ht="15" hidden="false" customHeight="false" outlineLevel="0" collapsed="false">
      <c r="A9" s="9" t="s">
        <v>26</v>
      </c>
      <c r="B9" s="11" t="n">
        <v>0.14</v>
      </c>
      <c r="C9" s="19" t="s">
        <v>27</v>
      </c>
    </row>
    <row r="10" customFormat="false" ht="15" hidden="false" customHeight="false" outlineLevel="0" collapsed="false">
      <c r="A10" s="9" t="s">
        <v>28</v>
      </c>
      <c r="B10" s="11" t="n">
        <v>0.03</v>
      </c>
    </row>
    <row r="11" customFormat="false" ht="15" hidden="false" customHeight="false" outlineLevel="0" collapsed="false">
      <c r="A11" s="9" t="s">
        <v>29</v>
      </c>
      <c r="B11" s="11" t="n">
        <v>0.13</v>
      </c>
    </row>
    <row r="12" customFormat="false" ht="15" hidden="false" customHeight="false" outlineLevel="0" collapsed="false">
      <c r="A12" s="9" t="s">
        <v>30</v>
      </c>
      <c r="B12" s="11" t="n">
        <v>0.23</v>
      </c>
      <c r="C12" s="19" t="s">
        <v>31</v>
      </c>
    </row>
    <row r="13" customFormat="false" ht="15" hidden="false" customHeight="false" outlineLevel="0" collapsed="false">
      <c r="A13" s="9" t="s">
        <v>32</v>
      </c>
      <c r="B13" s="11" t="n">
        <v>0.022</v>
      </c>
    </row>
    <row r="14" customFormat="false" ht="15" hidden="false" customHeight="false" outlineLevel="0" collapsed="false">
      <c r="A14" s="9" t="s">
        <v>33</v>
      </c>
      <c r="B14" s="21" t="n">
        <v>4</v>
      </c>
      <c r="C14" s="19" t="s">
        <v>34</v>
      </c>
    </row>
    <row r="15" customFormat="false" ht="15" hidden="false" customHeight="false" outlineLevel="0" collapsed="false">
      <c r="A15" s="9" t="s">
        <v>35</v>
      </c>
      <c r="B15" s="11" t="n">
        <v>0.21</v>
      </c>
    </row>
    <row r="16" customFormat="false" ht="15" hidden="false" customHeight="false" outlineLevel="0" collapsed="false">
      <c r="A16" s="9" t="s">
        <v>36</v>
      </c>
      <c r="B16" s="11" t="n">
        <v>0.2</v>
      </c>
    </row>
    <row r="17" customFormat="false" ht="15" hidden="false" customHeight="false" outlineLevel="0" collapsed="false">
      <c r="A17" s="9" t="s">
        <v>14</v>
      </c>
      <c r="B17" s="22" t="n">
        <v>0.097</v>
      </c>
      <c r="C17" s="19" t="s">
        <v>37</v>
      </c>
    </row>
    <row r="18" customFormat="false" ht="15" hidden="false" customHeight="false" outlineLevel="0" collapsed="false">
      <c r="A18" s="9" t="s">
        <v>38</v>
      </c>
      <c r="B18" s="23" t="n">
        <v>10.27</v>
      </c>
      <c r="C18" s="19" t="s">
        <v>39</v>
      </c>
    </row>
    <row r="19" customFormat="false" ht="15" hidden="false" customHeight="false" outlineLevel="0" collapsed="false">
      <c r="A19" s="9" t="s">
        <v>40</v>
      </c>
      <c r="B19" s="24" t="n">
        <v>0.2663</v>
      </c>
    </row>
    <row r="21" customFormat="false" ht="19.5" hidden="false" customHeight="true" outlineLevel="0" collapsed="false">
      <c r="A21" s="5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30" hidden="false" customHeight="true" outlineLevel="0" collapsed="false">
      <c r="A22" s="7" t="s">
        <v>42</v>
      </c>
      <c r="B22" s="8" t="s">
        <v>43</v>
      </c>
      <c r="C22" s="8" t="s">
        <v>44</v>
      </c>
      <c r="D22" s="8" t="s">
        <v>45</v>
      </c>
      <c r="E22" s="8" t="s">
        <v>46</v>
      </c>
      <c r="F22" s="8" t="s">
        <v>47</v>
      </c>
      <c r="G22" s="8" t="s">
        <v>48</v>
      </c>
      <c r="H22" s="8" t="s">
        <v>49</v>
      </c>
      <c r="I22" s="8" t="s">
        <v>50</v>
      </c>
      <c r="J22" s="8" t="s">
        <v>51</v>
      </c>
      <c r="K22" s="8" t="s">
        <v>52</v>
      </c>
    </row>
    <row r="23" customFormat="false" ht="15" hidden="false" customHeight="false" outlineLevel="0" collapsed="false">
      <c r="A23" s="9" t="s">
        <v>53</v>
      </c>
      <c r="B23" s="25" t="n">
        <v>1</v>
      </c>
      <c r="C23" s="25" t="n">
        <v>2</v>
      </c>
      <c r="D23" s="25" t="n">
        <v>3</v>
      </c>
      <c r="E23" s="25" t="n">
        <v>4</v>
      </c>
      <c r="F23" s="25" t="n">
        <v>5</v>
      </c>
      <c r="G23" s="25" t="n">
        <v>6</v>
      </c>
      <c r="H23" s="25" t="n">
        <v>7</v>
      </c>
      <c r="I23" s="25" t="n">
        <v>8</v>
      </c>
      <c r="J23" s="25" t="n">
        <v>9</v>
      </c>
      <c r="K23" s="25" t="n">
        <v>10</v>
      </c>
    </row>
    <row r="24" customFormat="false" ht="15" hidden="false" customHeight="false" outlineLevel="0" collapsed="false">
      <c r="A24" s="9" t="s">
        <v>54</v>
      </c>
      <c r="B24" s="15" t="n">
        <f aca="false">$B$8</f>
        <v>0.16</v>
      </c>
      <c r="C24" s="15" t="n">
        <f aca="false">$B$9</f>
        <v>0.14</v>
      </c>
      <c r="D24" s="15" t="n">
        <f aca="false">$B$9+($B$10-$B$9)*(D23-2)/8</f>
        <v>0.12625</v>
      </c>
      <c r="E24" s="15" t="n">
        <f aca="false">$B$9+($B$10-$B$9)*(E23-2)/8</f>
        <v>0.1125</v>
      </c>
      <c r="F24" s="15" t="n">
        <f aca="false">$B$9+($B$10-$B$9)*(F23-2)/8</f>
        <v>0.09875</v>
      </c>
      <c r="G24" s="15" t="n">
        <f aca="false">$B$9+($B$10-$B$9)*(G23-2)/8</f>
        <v>0.085</v>
      </c>
      <c r="H24" s="15" t="n">
        <f aca="false">$B$9+($B$10-$B$9)*(H23-2)/8</f>
        <v>0.07125</v>
      </c>
      <c r="I24" s="15" t="n">
        <f aca="false">$B$9+($B$10-$B$9)*(I23-2)/8</f>
        <v>0.0575</v>
      </c>
      <c r="J24" s="15" t="n">
        <f aca="false">$B$9+($B$10-$B$9)*(J23-2)/8</f>
        <v>0.04375</v>
      </c>
      <c r="K24" s="15" t="n">
        <f aca="false">$B$9+($B$10-$B$9)*(K23-2)/8</f>
        <v>0.03</v>
      </c>
    </row>
    <row r="25" customFormat="false" ht="15" hidden="false" customHeight="false" outlineLevel="0" collapsed="false">
      <c r="A25" s="9" t="s">
        <v>55</v>
      </c>
      <c r="B25" s="26" t="n">
        <f aca="false">$B$7*(1+B24)</f>
        <v>53.36</v>
      </c>
      <c r="C25" s="26" t="n">
        <f aca="false">B25*(1+C24)</f>
        <v>60.8304</v>
      </c>
      <c r="D25" s="26" t="n">
        <f aca="false">C25*(1+D24)</f>
        <v>68.510238</v>
      </c>
      <c r="E25" s="26" t="n">
        <f aca="false">D25*(1+E24)</f>
        <v>76.217639775</v>
      </c>
      <c r="F25" s="26" t="n">
        <f aca="false">E25*(1+F24)</f>
        <v>83.7441317027813</v>
      </c>
      <c r="G25" s="26" t="n">
        <f aca="false">F25*(1+G24)</f>
        <v>90.8623828975177</v>
      </c>
      <c r="H25" s="26" t="n">
        <f aca="false">G25*(1+H24)</f>
        <v>97.3363276789658</v>
      </c>
      <c r="I25" s="26" t="n">
        <f aca="false">H25*(1+I24)</f>
        <v>102.933166520506</v>
      </c>
      <c r="J25" s="26" t="n">
        <f aca="false">I25*(1+J24)</f>
        <v>107.436492555778</v>
      </c>
      <c r="K25" s="26" t="n">
        <f aca="false">J25*(1+K24)</f>
        <v>110.659587332452</v>
      </c>
    </row>
    <row r="26" customFormat="false" ht="15" hidden="false" customHeight="false" outlineLevel="0" collapsed="false">
      <c r="A26" s="9" t="s">
        <v>56</v>
      </c>
      <c r="B26" s="15" t="n">
        <f aca="false">$B$11+($B$12-$B$11)*MIN(1,B23/2)</f>
        <v>0.18</v>
      </c>
      <c r="C26" s="15" t="n">
        <f aca="false">$B$11+($B$12-$B$11)*MIN(1,C23/2)</f>
        <v>0.23</v>
      </c>
      <c r="D26" s="15" t="n">
        <f aca="false">$B$11+($B$12-$B$11)*MIN(1,D23/2)</f>
        <v>0.23</v>
      </c>
      <c r="E26" s="15" t="n">
        <f aca="false">$B$11+($B$12-$B$11)*MIN(1,E23/2)</f>
        <v>0.23</v>
      </c>
      <c r="F26" s="15" t="n">
        <f aca="false">$B$11+($B$12-$B$11)*MIN(1,F23/2)</f>
        <v>0.23</v>
      </c>
      <c r="G26" s="15" t="n">
        <f aca="false">$B$11+($B$12-$B$11)*MIN(1,G23/2)</f>
        <v>0.23</v>
      </c>
      <c r="H26" s="15" t="n">
        <f aca="false">$B$11+($B$12-$B$11)*MIN(1,H23/2)</f>
        <v>0.23</v>
      </c>
      <c r="I26" s="15" t="n">
        <f aca="false">$B$11+($B$12-$B$11)*MIN(1,I23/2)</f>
        <v>0.23</v>
      </c>
      <c r="J26" s="15" t="n">
        <f aca="false">$B$11+($B$12-$B$11)*MIN(1,J23/2)</f>
        <v>0.23</v>
      </c>
      <c r="K26" s="15" t="n">
        <f aca="false">$B$11+($B$12-$B$11)*MIN(1,K23/2)</f>
        <v>0.23</v>
      </c>
    </row>
    <row r="27" customFormat="false" ht="15" hidden="false" customHeight="false" outlineLevel="0" collapsed="false">
      <c r="A27" s="9" t="s">
        <v>57</v>
      </c>
      <c r="B27" s="26" t="n">
        <f aca="false">B25*(B26-$B$13)</f>
        <v>8.43088</v>
      </c>
      <c r="C27" s="26" t="n">
        <f aca="false">C25*(C26-$B$13)</f>
        <v>12.6527232</v>
      </c>
      <c r="D27" s="26" t="n">
        <f aca="false">D25*(D26-$B$13)</f>
        <v>14.250129504</v>
      </c>
      <c r="E27" s="26" t="n">
        <f aca="false">E25*(E26-$B$13)</f>
        <v>15.8532690732</v>
      </c>
      <c r="F27" s="26" t="n">
        <f aca="false">F25*(F26-$B$13)</f>
        <v>17.4187793941785</v>
      </c>
      <c r="G27" s="26" t="n">
        <f aca="false">G25*(G26-$B$13)</f>
        <v>18.8993756426837</v>
      </c>
      <c r="H27" s="26" t="n">
        <f aca="false">H25*(H26-$B$13)</f>
        <v>20.2459561572249</v>
      </c>
      <c r="I27" s="26" t="n">
        <f aca="false">I25*(I26-$B$13)</f>
        <v>21.4100986362653</v>
      </c>
      <c r="J27" s="26" t="n">
        <f aca="false">J25*(J26-$B$13)</f>
        <v>22.3467904516019</v>
      </c>
      <c r="K27" s="26" t="n">
        <f aca="false">K25*(K26-$B$13)</f>
        <v>23.01719416515</v>
      </c>
    </row>
    <row r="28" customFormat="false" ht="15" hidden="false" customHeight="false" outlineLevel="0" collapsed="false">
      <c r="A28" s="9" t="s">
        <v>58</v>
      </c>
      <c r="B28" s="26" t="n">
        <f aca="false">B27*(1-$B$15)</f>
        <v>6.6603952</v>
      </c>
      <c r="C28" s="26" t="n">
        <f aca="false">C27*(1-$B$15)</f>
        <v>9.995651328</v>
      </c>
      <c r="D28" s="26" t="n">
        <f aca="false">D27*(1-$B$15)</f>
        <v>11.25760230816</v>
      </c>
      <c r="E28" s="26" t="n">
        <f aca="false">E27*(1-$B$15)</f>
        <v>12.524082567828</v>
      </c>
      <c r="F28" s="26" t="n">
        <f aca="false">F27*(1-$B$15)</f>
        <v>13.760835721401</v>
      </c>
      <c r="G28" s="26" t="n">
        <f aca="false">G27*(1-$B$15)</f>
        <v>14.9305067577201</v>
      </c>
      <c r="H28" s="26" t="n">
        <f aca="false">H27*(1-$B$15)</f>
        <v>15.9943053642077</v>
      </c>
      <c r="I28" s="26" t="n">
        <f aca="false">I27*(1-$B$15)</f>
        <v>16.9139779226496</v>
      </c>
      <c r="J28" s="26" t="n">
        <f aca="false">J27*(1-$B$15)</f>
        <v>17.6539644567655</v>
      </c>
      <c r="K28" s="26" t="n">
        <f aca="false">K27*(1-$B$15)</f>
        <v>18.1835833904685</v>
      </c>
    </row>
    <row r="29" customFormat="false" ht="15" hidden="false" customHeight="false" outlineLevel="0" collapsed="false">
      <c r="A29" s="9" t="s">
        <v>59</v>
      </c>
      <c r="B29" s="26" t="n">
        <f aca="false">(B25-$B$7)/$B$14</f>
        <v>1.84</v>
      </c>
      <c r="C29" s="26" t="n">
        <f aca="false">(C25-B25)/$B$14</f>
        <v>1.8676</v>
      </c>
      <c r="D29" s="26" t="n">
        <f aca="false">(D25-C25)/$B$14</f>
        <v>1.9199595</v>
      </c>
      <c r="E29" s="26" t="n">
        <f aca="false">(E25-D25)/$B$14</f>
        <v>1.92685044375</v>
      </c>
      <c r="F29" s="26" t="n">
        <f aca="false">(F25-E25)/$B$14</f>
        <v>1.88162298194531</v>
      </c>
      <c r="G29" s="26" t="n">
        <f aca="false">(G25-F25)/$B$14</f>
        <v>1.7795627986841</v>
      </c>
      <c r="H29" s="26" t="n">
        <f aca="false">(H25-G25)/$B$14</f>
        <v>1.61848619536203</v>
      </c>
      <c r="I29" s="26" t="n">
        <f aca="false">(I25-H25)/$B$14</f>
        <v>1.39920971038514</v>
      </c>
      <c r="J29" s="26" t="n">
        <f aca="false">(J25-I25)/$B$14</f>
        <v>1.12583150881804</v>
      </c>
      <c r="K29" s="26" t="n">
        <f aca="false">(K25-J25)/$B$14</f>
        <v>0.805773694168341</v>
      </c>
    </row>
    <row r="30" customFormat="false" ht="15" hidden="false" customHeight="false" outlineLevel="0" collapsed="false">
      <c r="A30" s="12" t="s">
        <v>60</v>
      </c>
      <c r="B30" s="27" t="n">
        <f aca="false">B28-B29</f>
        <v>4.8203952</v>
      </c>
      <c r="C30" s="27" t="n">
        <f aca="false">C28-C29</f>
        <v>8.128051328</v>
      </c>
      <c r="D30" s="27" t="n">
        <f aca="false">D28-D29</f>
        <v>9.33764280816</v>
      </c>
      <c r="E30" s="27" t="n">
        <f aca="false">E28-E29</f>
        <v>10.597232124078</v>
      </c>
      <c r="F30" s="27" t="n">
        <f aca="false">F28-F29</f>
        <v>11.8792127394557</v>
      </c>
      <c r="G30" s="27" t="n">
        <f aca="false">G28-G29</f>
        <v>13.150943959036</v>
      </c>
      <c r="H30" s="27" t="n">
        <f aca="false">H28-H29</f>
        <v>14.3758191688456</v>
      </c>
      <c r="I30" s="27" t="n">
        <f aca="false">I28-I29</f>
        <v>15.5147682122645</v>
      </c>
      <c r="J30" s="27" t="n">
        <f aca="false">J28-J29</f>
        <v>16.5281329479475</v>
      </c>
      <c r="K30" s="27" t="n">
        <f aca="false">K28-K29</f>
        <v>17.3778096963002</v>
      </c>
    </row>
    <row r="31" customFormat="false" ht="15" hidden="false" customHeight="false" outlineLevel="0" collapsed="false">
      <c r="A31" s="9" t="s">
        <v>61</v>
      </c>
      <c r="B31" s="28" t="n">
        <f aca="false">1/(1+$B$17)^(B23-0.5)</f>
        <v>0.954765431013758</v>
      </c>
      <c r="C31" s="28" t="n">
        <f aca="false">1/(1+$B$17)^(C23-0.5)</f>
        <v>0.870342234287838</v>
      </c>
      <c r="D31" s="28" t="n">
        <f aca="false">1/(1+$B$17)^(D23-0.5)</f>
        <v>0.793383987500308</v>
      </c>
      <c r="E31" s="28" t="n">
        <f aca="false">1/(1+$B$17)^(E23-0.5)</f>
        <v>0.723230617593718</v>
      </c>
      <c r="F31" s="28" t="n">
        <f aca="false">1/(1+$B$17)^(F23-0.5)</f>
        <v>0.659280417131921</v>
      </c>
      <c r="G31" s="28" t="n">
        <f aca="false">1/(1+$B$17)^(G23-0.5)</f>
        <v>0.600984883438397</v>
      </c>
      <c r="H31" s="28" t="n">
        <f aca="false">1/(1+$B$17)^(H23-0.5)</f>
        <v>0.547844014073288</v>
      </c>
      <c r="I31" s="28" t="n">
        <f aca="false">1/(1+$B$17)^(I23-0.5)</f>
        <v>0.499402018298348</v>
      </c>
      <c r="J31" s="28" t="n">
        <f aca="false">1/(1+$B$17)^(J23-0.5)</f>
        <v>0.455243407746899</v>
      </c>
      <c r="K31" s="28" t="n">
        <f aca="false">1/(1+$B$17)^(K23-0.5)</f>
        <v>0.414989432768367</v>
      </c>
    </row>
    <row r="32" customFormat="false" ht="15" hidden="false" customHeight="false" outlineLevel="0" collapsed="false">
      <c r="A32" s="9" t="s">
        <v>62</v>
      </c>
      <c r="B32" s="26" t="n">
        <f aca="false">B30*B31</f>
        <v>4.60234670078465</v>
      </c>
      <c r="C32" s="26" t="n">
        <f aca="false">C30*C31</f>
        <v>7.07418635321775</v>
      </c>
      <c r="D32" s="26" t="n">
        <f aca="false">D30*D31</f>
        <v>7.40833628499156</v>
      </c>
      <c r="E32" s="26" t="n">
        <f aca="false">E30*E31</f>
        <v>7.66424273388092</v>
      </c>
      <c r="F32" s="26" t="n">
        <f aca="false">F30*F31</f>
        <v>7.83173233006719</v>
      </c>
      <c r="G32" s="26" t="n">
        <f aca="false">G30*G31</f>
        <v>7.90351852232614</v>
      </c>
      <c r="H32" s="26" t="n">
        <f aca="false">H30*H31</f>
        <v>7.8757064790521</v>
      </c>
      <c r="I32" s="26" t="n">
        <f aca="false">I30*I31</f>
        <v>7.74810655863593</v>
      </c>
      <c r="J32" s="26" t="n">
        <f aca="false">J30*J31</f>
        <v>7.52432356691741</v>
      </c>
      <c r="K32" s="26" t="n">
        <f aca="false">K30*K31</f>
        <v>7.21160738862423</v>
      </c>
    </row>
    <row r="34" customFormat="false" ht="19.5" hidden="false" customHeight="true" outlineLevel="0" collapsed="false">
      <c r="A34" s="5" t="s">
        <v>63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false" outlineLevel="0" collapsed="false">
      <c r="A35" s="9" t="s">
        <v>64</v>
      </c>
      <c r="B35" s="26" t="n">
        <f aca="false">SUM(B32:K32)</f>
        <v>72.8441069184979</v>
      </c>
    </row>
    <row r="36" customFormat="false" ht="15" hidden="false" customHeight="false" outlineLevel="0" collapsed="false">
      <c r="A36" s="9" t="s">
        <v>65</v>
      </c>
      <c r="B36" s="26" t="n">
        <f aca="false">K27*(1+$B$10)*(1-$B$15)</f>
        <v>18.7290908921825</v>
      </c>
    </row>
    <row r="37" customFormat="false" ht="15" hidden="false" customHeight="false" outlineLevel="0" collapsed="false">
      <c r="A37" s="9" t="s">
        <v>66</v>
      </c>
      <c r="B37" s="26" t="n">
        <f aca="false">B36*(1-$B$10/$B$16)/($B$17-$B$10)</f>
        <v>237.607869527689</v>
      </c>
      <c r="C37" s="19" t="s">
        <v>67</v>
      </c>
    </row>
    <row r="38" customFormat="false" ht="15" hidden="false" customHeight="false" outlineLevel="0" collapsed="false">
      <c r="A38" s="9" t="s">
        <v>68</v>
      </c>
      <c r="B38" s="26" t="n">
        <f aca="false">B37/(1+$B$17)^9.5</f>
        <v>98.6047549965959</v>
      </c>
    </row>
    <row r="39" customFormat="false" ht="15" hidden="false" customHeight="false" outlineLevel="0" collapsed="false">
      <c r="A39" s="9" t="s">
        <v>69</v>
      </c>
      <c r="B39" s="26" t="n">
        <f aca="false">B35+B38</f>
        <v>171.448861915094</v>
      </c>
    </row>
    <row r="40" customFormat="false" ht="15" hidden="false" customHeight="false" outlineLevel="0" collapsed="false">
      <c r="A40" s="9" t="s">
        <v>70</v>
      </c>
      <c r="B40" s="26" t="n">
        <f aca="false">B39+$B$18</f>
        <v>181.718861915094</v>
      </c>
    </row>
    <row r="41" customFormat="false" ht="15" hidden="false" customHeight="false" outlineLevel="0" collapsed="false">
      <c r="A41" s="12" t="s">
        <v>15</v>
      </c>
      <c r="B41" s="13" t="n">
        <f aca="false">B40/$B$19</f>
        <v>682.384010195621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2026-10-22T20:06:02Z</dcterms:created>
  <dc:creator>LDB Finance</dc:creator>
  <dc:description/>
  <dc:language>en-US</dc:language>
  <cp:lastModifiedBy/>
  <dcterms:modified xsi:type="dcterms:W3CDTF">2026-10-22T20:06:02Z</dcterms:modified>
  <cp:revision>0</cp:revision>
  <dc:subject/>
  <dc:title>GE Vernova (GEV)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