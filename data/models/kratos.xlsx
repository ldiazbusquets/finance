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<sst xmlns="http://schemas.openxmlformats.org/spreadsheetml/2006/main" count="56" uniqueCount="46">
  <si>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</si>
  <si>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Kratos Defense (KTOS)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</si>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</sst>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13.6720597909979</v>
      </c>
      <c r="C8" s="10" t="n">
        <f aca="false">Model!C31</f>
        <v>23.9773656307629</v>
      </c>
      <c r="D8" s="10" t="n">
        <f aca="false">Model!D31</f>
        <v>44.288147462605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26.4787346287822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-0.31773422755006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(Model!$C$22/(1+B16)^Model!$C$13+Model!$C$25/(1+B16)^1+Model!$C$26/(1+B16)^2+Model!$C$27/(1+B16)^3+Model!$C$28/(1+B16)^4+Model!$C$14)/Model!$C$15</f>
        <v>25.3482816135752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(Model!$C$22/(1+B17)^Model!$C$13+Model!$C$25/(1+B17)^1+Model!$C$26/(1+B17)^2+Model!$C$27/(1+B17)^3+Model!$C$28/(1+B17)^4+Model!$C$14)/Model!$C$15</f>
        <v>24.6471431039541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(Model!$C$22/(1+B18)^Model!$C$13+Model!$C$25/(1+B18)^1+Model!$C$26/(1+B18)^2+Model!$C$27/(1+B18)^3+Model!$C$28/(1+B18)^4+Model!$C$14)/Model!$C$15</f>
        <v>23.9773656307629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(Model!$C$22/(1+B19)^Model!$C$13+Model!$C$25/(1+B19)^1+Model!$C$26/(1+B19)^2+Model!$C$27/(1+B19)^3+Model!$C$28/(1+B19)^4+Model!$C$14)/Model!$C$15</f>
        <v>23.3372802758338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(Model!$C$22/(1+B20)^Model!$C$13+Model!$C$25/(1+B20)^1+Model!$C$26/(1+B20)^2+Model!$C$27/(1+B20)^3+Model!$C$28/(1+B20)^4+Model!$C$14)/Model!$C$15</f>
        <v>22.7253208721626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6" customFormat="false" ht="15" hidden="false" customHeight="false" outlineLevel="0" collapsed="false">
      <c r="A16" s="9" t="s">
        <v>31</v>
      </c>
      <c r="B16" s="20" t="n">
        <v>-0.13</v>
      </c>
      <c r="C16" s="20" t="n">
        <v>-0.13</v>
      </c>
      <c r="D16" s="20" t="n">
        <v>-0.13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0.12324</v>
      </c>
      <c r="C21" s="24" t="n">
        <f aca="false">C8*C9*(1-C10)</f>
        <v>0.22752</v>
      </c>
      <c r="D21" s="24" t="n">
        <f aca="false">D8*D9*(1-D10)</f>
        <v>0.3792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2.21832</v>
      </c>
      <c r="C22" s="24" t="n">
        <f aca="false">C21*C11</f>
        <v>5.00544</v>
      </c>
      <c r="D22" s="24" t="n">
        <f aca="false">D21*D11</f>
        <v>10.6176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1.51514240830544</v>
      </c>
      <c r="C23" s="24" t="n">
        <f aca="false">C22/(1+C12)^C13</f>
        <v>3.41878287002254</v>
      </c>
      <c r="D23" s="24" t="n">
        <f aca="false">D22/(1+D12)^D13</f>
        <v>7.25196366368417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0.098592</v>
      </c>
      <c r="C24" s="24" t="n">
        <f aca="false">C21*C17</f>
        <v>0.182016</v>
      </c>
      <c r="D24" s="24" t="n">
        <f aca="false">D21*D17</f>
        <v>0.30336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-0.072852</v>
      </c>
      <c r="C25" s="24" t="n">
        <f aca="false">C16+(C24-C16)*1/C13</f>
        <v>-0.051996</v>
      </c>
      <c r="D25" s="24" t="n">
        <f aca="false">D16+(D24-D16)*1/D13</f>
        <v>-0.02166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-0.015704</v>
      </c>
      <c r="C26" s="24" t="n">
        <f aca="false">C16+(C24-C16)*2/C13</f>
        <v>0.026008</v>
      </c>
      <c r="D26" s="24" t="n">
        <f aca="false">D16+(D24-D16)*2/D13</f>
        <v>0.08668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0.041444</v>
      </c>
      <c r="C27" s="24" t="n">
        <f aca="false">C16+(C24-C16)*3/C13</f>
        <v>0.104012</v>
      </c>
      <c r="D27" s="24" t="n">
        <f aca="false">D16+(D24-D16)*3/D13</f>
        <v>0.19502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0.098592</v>
      </c>
      <c r="C28" s="24" t="n">
        <f aca="false">C16+(C24-C16)*4/C13</f>
        <v>0.182016</v>
      </c>
      <c r="D28" s="24" t="n">
        <f aca="false">D16+(D24-D16)*4/D13</f>
        <v>0.30336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0.0192695498941329</v>
      </c>
      <c r="C29" s="24" t="n">
        <f aca="false">C25/(1+C12)^1+C26/(1+C12)^2+C27/(1+C12)^3+C28/(1+C12)^4</f>
        <v>0.176690256130046</v>
      </c>
      <c r="D29" s="24" t="n">
        <f aca="false">D25/(1+D12)^1+D26/(1+D12)^2+D27/(1+D12)^3+D28/(1+D12)^4</f>
        <v>0.405665828836828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2.73441195819958</v>
      </c>
      <c r="C30" s="24" t="n">
        <f aca="false">C23+C29+C14</f>
        <v>4.79547312615259</v>
      </c>
      <c r="D30" s="24" t="n">
        <f aca="false">D23+D29+D14</f>
        <v>8.857629492521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13.6720597909979</v>
      </c>
      <c r="C31" s="13" t="n">
        <f aca="false">C30/C15</f>
        <v>23.9773656307629</v>
      </c>
      <c r="D31" s="13" t="n">
        <f aca="false">D30/D15</f>
        <v>44.288147462605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