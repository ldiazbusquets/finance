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<sst xmlns="http://schemas.openxmlformats.org/spreadsheetml/2006/main" count="46" uniqueCount="36">
  <si>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</si>
  <si>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Kratos Defense (KTOS)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</si>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</sst>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13.5757120415272</v>
      </c>
      <c r="C8" s="10" t="n">
        <f aca="false">Model!C23</f>
        <v>23.0939143501127</v>
      </c>
      <c r="D8" s="10" t="n">
        <f aca="false">Model!D23</f>
        <v>42.2598183184209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25.5058397650434</v>
      </c>
    </row>
    <row r="11" customFormat="false" ht="15" hidden="false" customHeight="false" outlineLevel="0" collapsed="false">
      <c r="A11" s="9" t="s">
        <v>10</v>
      </c>
      <c r="C11" s="14" t="n">
        <v>38.81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-0.342802376577084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0.08</v>
      </c>
      <c r="C16" s="18" t="n">
        <f aca="false">(Model!$C$20/(1+B16)^Model!$C$13+Model!$C$14)/Model!$C$15</f>
        <v>24.3957391319074</v>
      </c>
    </row>
    <row r="17" customFormat="false" ht="15" hidden="false" customHeight="false" outlineLevel="0" collapsed="false">
      <c r="A17" s="16"/>
      <c r="B17" s="17" t="n">
        <v>0.09</v>
      </c>
      <c r="C17" s="18" t="n">
        <f aca="false">(Model!$C$20/(1+B17)^Model!$C$13+Model!$C$14)/Model!$C$15</f>
        <v>23.7298994423709</v>
      </c>
    </row>
    <row r="18" customFormat="false" ht="15" hidden="false" customHeight="false" outlineLevel="0" collapsed="false">
      <c r="A18" s="16"/>
      <c r="B18" s="17" t="n">
        <v>0.1</v>
      </c>
      <c r="C18" s="18" t="n">
        <f aca="false">(Model!$C$20/(1+B18)^Model!$C$13+Model!$C$14)/Model!$C$15</f>
        <v>23.0939143501127</v>
      </c>
    </row>
    <row r="19" customFormat="false" ht="15" hidden="false" customHeight="false" outlineLevel="0" collapsed="false">
      <c r="A19" s="16"/>
      <c r="B19" s="17" t="n">
        <v>0.11</v>
      </c>
      <c r="C19" s="18" t="n">
        <f aca="false">(Model!$C$20/(1+B19)^Model!$C$13+Model!$C$14)/Model!$C$15</f>
        <v>22.4861918361217</v>
      </c>
    </row>
    <row r="20" customFormat="false" ht="15" hidden="false" customHeight="false" outlineLevel="0" collapsed="false">
      <c r="A20" s="16"/>
      <c r="B20" s="17" t="n">
        <v>0.12</v>
      </c>
      <c r="C20" s="18" t="n">
        <f aca="false">(Model!$C$20/(1+B20)^Model!$C$13+Model!$C$14)/Model!$C$15</f>
        <v>21.9052380518534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2.6</v>
      </c>
      <c r="C8" s="20" t="n">
        <v>3.2</v>
      </c>
      <c r="D8" s="20" t="n">
        <v>4</v>
      </c>
    </row>
    <row r="9" customFormat="false" ht="15" hidden="false" customHeight="false" outlineLevel="0" collapsed="false">
      <c r="A9" s="9" t="s">
        <v>24</v>
      </c>
      <c r="B9" s="11" t="n">
        <v>0.06</v>
      </c>
      <c r="C9" s="11" t="n">
        <v>0.09</v>
      </c>
      <c r="D9" s="11" t="n">
        <v>0.12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18</v>
      </c>
      <c r="C11" s="21" t="n">
        <v>22</v>
      </c>
      <c r="D11" s="21" t="n">
        <v>28</v>
      </c>
    </row>
    <row r="12" customFormat="false" ht="15" hidden="false" customHeight="false" outlineLevel="0" collapsed="false">
      <c r="A12" s="9" t="s">
        <v>14</v>
      </c>
      <c r="B12" s="11" t="n">
        <v>0.1</v>
      </c>
      <c r="C12" s="11" t="n">
        <v>0.1</v>
      </c>
      <c r="D12" s="11" t="n">
        <v>0.1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1.2</v>
      </c>
      <c r="C14" s="20" t="n">
        <v>1.2</v>
      </c>
      <c r="D14" s="20" t="n">
        <v>1.2</v>
      </c>
    </row>
    <row r="15" customFormat="false" ht="15" hidden="false" customHeight="false" outlineLevel="0" collapsed="false">
      <c r="A15" s="9" t="s">
        <v>30</v>
      </c>
      <c r="B15" s="23" t="n">
        <v>0.2</v>
      </c>
      <c r="C15" s="23" t="n">
        <v>0.2</v>
      </c>
      <c r="D15" s="23" t="n">
        <v>0.2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0.12324</v>
      </c>
      <c r="C19" s="24" t="n">
        <f aca="false">C8*C9*(1-C10)</f>
        <v>0.22752</v>
      </c>
      <c r="D19" s="24" t="n">
        <f aca="false">D8*D9*(1-D10)</f>
        <v>0.3792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2.21832</v>
      </c>
      <c r="C20" s="24" t="n">
        <f aca="false">C19*C11</f>
        <v>5.00544</v>
      </c>
      <c r="D20" s="24" t="n">
        <f aca="false">D19*D11</f>
        <v>10.6176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1.51514240830544</v>
      </c>
      <c r="C21" s="24" t="n">
        <f aca="false">C20/(1+C12)^C13</f>
        <v>3.41878287002254</v>
      </c>
      <c r="D21" s="24" t="n">
        <f aca="false">D20/(1+D12)^D13</f>
        <v>7.25196366368417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2.71514240830544</v>
      </c>
      <c r="C22" s="24" t="n">
        <f aca="false">C21+C14</f>
        <v>4.61878287002254</v>
      </c>
      <c r="D22" s="24" t="n">
        <f aca="false">D21+D14</f>
        <v>8.45196366368417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13.5757120415272</v>
      </c>
      <c r="C23" s="13" t="n">
        <f aca="false">C22/C15</f>
        <v>23.0939143501127</v>
      </c>
      <c r="D23" s="13" t="n">
        <f aca="false">D22/D15</f>
        <v>42.2598183184209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2026-10-22T14:43:37Z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Kratos Defense (KTOS)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