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<sst xmlns="http://schemas.openxmlformats.org/spreadsheetml/2006/main" count="46" uniqueCount="36">
  <si>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</si>
  <si>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Kratos Defense (KTOS)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</si>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</sst>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13.5757120415272</v>
      </c>
      <c r="C8" s="10" t="n">
        <f aca="false">Model!C23</f>
        <v>23.0939143501127</v>
      </c>
      <c r="D8" s="10" t="n">
        <f aca="false">Model!D23</f>
        <v>42.2598183184209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25.5058397650434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-0.342802376577084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(Model!$C$20/(1+B16)^Model!$C$13+Model!$C$14)/Model!$C$15</f>
        <v>24.3957391319074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(Model!$C$20/(1+B17)^Model!$C$13+Model!$C$14)/Model!$C$15</f>
        <v>23.7298994423709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(Model!$C$20/(1+B18)^Model!$C$13+Model!$C$14)/Model!$C$15</f>
        <v>23.0939143501127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(Model!$C$20/(1+B19)^Model!$C$13+Model!$C$14)/Model!$C$15</f>
        <v>22.4861918361217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(Model!$C$20/(1+B20)^Model!$C$13+Model!$C$14)/Model!$C$15</f>
        <v>21.9052380518534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0.12324</v>
      </c>
      <c r="C19" s="24" t="n">
        <f aca="false">C8*C9*(1-C10)</f>
        <v>0.22752</v>
      </c>
      <c r="D19" s="24" t="n">
        <f aca="false">D8*D9*(1-D10)</f>
        <v>0.3792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2.21832</v>
      </c>
      <c r="C20" s="24" t="n">
        <f aca="false">C19*C11</f>
        <v>5.00544</v>
      </c>
      <c r="D20" s="24" t="n">
        <f aca="false">D19*D11</f>
        <v>10.6176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1.51514240830544</v>
      </c>
      <c r="C21" s="24" t="n">
        <f aca="false">C20/(1+C12)^C13</f>
        <v>3.41878287002254</v>
      </c>
      <c r="D21" s="24" t="n">
        <f aca="false">D20/(1+D12)^D13</f>
        <v>7.25196366368417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2.71514240830544</v>
      </c>
      <c r="C22" s="24" t="n">
        <f aca="false">C21+C14</f>
        <v>4.61878287002254</v>
      </c>
      <c r="D22" s="24" t="n">
        <f aca="false">D21+D14</f>
        <v>8.45196366368417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13.5757120415272</v>
      </c>
      <c r="C23" s="13" t="n">
        <f aca="false">C22/C15</f>
        <v>23.0939143501127</v>
      </c>
      <c r="D23" s="13" t="n">
        <f aca="false">D22/D15</f>
        <v>42.2598183184209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