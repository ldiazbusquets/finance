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<sst xmlns="http://schemas.openxmlformats.org/spreadsheetml/2006/main" count="214" uniqueCount="93">
  <si>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</si>
  <si>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Lockheed Martin (LMT)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</si>
  <si>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</si>
  <si>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</si>
  <si>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</si>
  <si>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</si>
  <si>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</si>
  <si>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</si>
  <si>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</si>
  <si>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</si>
  <si>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</si>
  <si>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</si>
  <si>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</si>
  <si>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</si>
  <si>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</si>
  <si>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</si>
  <si>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</si>
  <si>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</si>
  <si>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</si>
  <si>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</si>
  <si>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</si>
  <si>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</si>
  <si>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</si>
  <si>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</si>
  <si>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</si>
  <si>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</si>
  <si>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</si>
  <si>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</si>
  <si>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</si>
  <si>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</si>
  <si>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</si>
  <si>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</si>
  <si>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</si>
  <si>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</si>
  <si>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</si>
  <si>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</si>
  <si>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</si>
  <si>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</si>
  <si>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https://github.com/ldiazbusquets/finance/blob/main/_source/models/lmt.py,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</si>
  <si>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</si>
  <si>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</si>
  <si>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</si>
  <si>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</si>
  <si>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guidance midpoint, $81.0B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</si>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</sst>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0.8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0.0875</v>
      </c>
    </row>
    <row r="11" customFormat="false" ht="15" hidden="false" customHeight="false" outlineLevel="0" collapsed="false">
      <c r="A11" s="7" t="s">
        <v>11</v>
      </c>
      <c r="B11" s="12" t="n">
        <v>590.2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0.2315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136.6313</v>
      </c>
    </row>
    <row r="14" customFormat="false" ht="15" hidden="false" customHeight="false" outlineLevel="0" collapsed="false">
      <c r="A14" s="7" t="s">
        <v>16</v>
      </c>
      <c r="B14" s="15" t="n">
        <v>20.5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0.0812377212560451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400.640087237355</v>
      </c>
      <c r="C21" s="21" t="n">
        <f aca="false">Base!$B$43</f>
        <v>647.319114162506</v>
      </c>
      <c r="D21" s="21" t="n">
        <f aca="false">Bull!$B$43</f>
        <v>972.578448425307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666.964190996919</v>
      </c>
    </row>
    <row r="24" customFormat="false" ht="15" hidden="false" customHeight="false" outlineLevel="0" collapsed="false">
      <c r="A24" s="7" t="s">
        <v>29</v>
      </c>
      <c r="C24" s="12" t="n">
        <v>590.2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0.130064708568144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0.07</v>
      </c>
      <c r="C29" s="26" t="n">
        <f aca="false">(SUMPRODUCT(Base!$B$32:$K$32,1/(1+B29)^(Base!$B$24:$K$24-0.5))+Base!$K$29*(1+Base!$B$10)*(1-Base!$B$14)*(1-Base!$B$10/Base!$B$16)/(B29-Base!$B$10)/(1+B29)^9.5+Base!$B$19)/Base!$B$20</f>
        <v>839.978695129946</v>
      </c>
    </row>
    <row r="30" customFormat="false" ht="15" hidden="false" customHeight="false" outlineLevel="0" collapsed="false">
      <c r="A30" s="24"/>
      <c r="B30" s="25" t="n">
        <v>0.075</v>
      </c>
      <c r="C30" s="26" t="n">
        <f aca="false">(SUMPRODUCT(Base!$B$32:$K$32,1/(1+B30)^(Base!$B$24:$K$24-0.5))+Base!$K$29*(1+Base!$B$10)*(1-Base!$B$14)*(1-Base!$B$10/Base!$B$16)/(B30-Base!$B$10)/(1+B30)^9.5+Base!$B$19)/Base!$B$20</f>
        <v>742.446509660248</v>
      </c>
    </row>
    <row r="31" customFormat="false" ht="15" hidden="false" customHeight="false" outlineLevel="0" collapsed="false">
      <c r="A31" s="24"/>
      <c r="B31" s="25" t="n">
        <v>0.08</v>
      </c>
      <c r="C31" s="26" t="n">
        <f aca="false">(SUMPRODUCT(Base!$B$32:$K$32,1/(1+B31)^(Base!$B$24:$K$24-0.5))+Base!$K$29*(1+Base!$B$10)*(1-Base!$B$14)*(1-Base!$B$10/Base!$B$16)/(B31-Base!$B$10)/(1+B31)^9.5+Base!$B$19)/Base!$B$20</f>
        <v>664.31921081587</v>
      </c>
    </row>
    <row r="32" customFormat="false" ht="15" hidden="false" customHeight="false" outlineLevel="0" collapsed="false">
      <c r="A32" s="24"/>
      <c r="B32" s="25" t="n">
        <v>0.085</v>
      </c>
      <c r="C32" s="26" t="n">
        <f aca="false">(SUMPRODUCT(Base!$B$32:$K$32,1/(1+B32)^(Base!$B$24:$K$24-0.5))+Base!$K$29*(1+Base!$B$10)*(1-Base!$B$14)*(1-Base!$B$10/Base!$B$16)/(B32-Base!$B$10)/(1+B32)^9.5+Base!$B$19)/Base!$B$20</f>
        <v>600.310176951907</v>
      </c>
    </row>
    <row r="33" customFormat="false" ht="15" hidden="false" customHeight="false" outlineLevel="0" collapsed="false">
      <c r="A33" s="24"/>
      <c r="B33" s="25" t="n">
        <v>0.09</v>
      </c>
      <c r="C33" s="26" t="n">
        <f aca="false">(SUMPRODUCT(Base!$B$32:$K$32,1/(1+B33)^(Base!$B$24:$K$24-0.5))+Base!$K$29*(1+Base!$B$10)*(1-Base!$B$14)*(1-Base!$B$10/Base!$B$16)/(B33-Base!$B$10)/(1+B33)^9.5+Base!$B$19)/Base!$B$20</f>
        <v>546.894678713892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0.07</v>
      </c>
    </row>
    <row r="9" customFormat="false" ht="15" hidden="false" customHeight="false" outlineLevel="0" collapsed="false">
      <c r="A9" s="7" t="s">
        <v>45</v>
      </c>
      <c r="B9" s="16" t="n">
        <v>0.06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0.115</v>
      </c>
    </row>
    <row r="12" customFormat="false" ht="15" hidden="false" customHeight="false" outlineLevel="0" collapsed="false">
      <c r="A12" s="7" t="s">
        <v>49</v>
      </c>
      <c r="B12" s="16" t="n">
        <v>0.12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0.0812377212560451</v>
      </c>
    </row>
    <row r="19" customFormat="false" ht="15" hidden="false" customHeight="false" outlineLevel="0" collapsed="false">
      <c r="A19" s="7" t="s">
        <v>58</v>
      </c>
      <c r="B19" s="15" t="n">
        <v>-14.5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0.2315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0.07</v>
      </c>
      <c r="C26" s="23" t="n">
        <f aca="false">$B$9</f>
        <v>0.06</v>
      </c>
      <c r="D26" s="23" t="n">
        <f aca="false">$B$9+($B$10-$B$9)*(D24-2)/8</f>
        <v>0.05625</v>
      </c>
      <c r="E26" s="23" t="n">
        <f aca="false">$B$9+($B$10-$B$9)*(E24-2)/8</f>
        <v>0.0525</v>
      </c>
      <c r="F26" s="23" t="n">
        <f aca="false">$B$9+($B$10-$B$9)*(F24-2)/8</f>
        <v>0.04875</v>
      </c>
      <c r="G26" s="23" t="n">
        <f aca="false">$B$9+($B$10-$B$9)*(G24-2)/8</f>
        <v>0.045</v>
      </c>
      <c r="H26" s="23" t="n">
        <f aca="false">$B$9+($B$10-$B$9)*(H24-2)/8</f>
        <v>0.04125</v>
      </c>
      <c r="I26" s="23" t="n">
        <f aca="false">$B$9+($B$10-$B$9)*(I24-2)/8</f>
        <v>0.0375</v>
      </c>
      <c r="J26" s="23" t="n">
        <f aca="false">$B$9+($B$10-$B$9)*(J24-2)/8</f>
        <v>0.03375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86.67</v>
      </c>
      <c r="C27" s="14" t="n">
        <f aca="false">B27*(1+C26)</f>
        <v>91.8702</v>
      </c>
      <c r="D27" s="14" t="n">
        <f aca="false">C27*(1+D26)</f>
        <v>97.03789875</v>
      </c>
      <c r="E27" s="14" t="n">
        <f aca="false">D27*(1+E26)</f>
        <v>102.132388434375</v>
      </c>
      <c r="F27" s="14" t="n">
        <f aca="false">E27*(1+F26)</f>
        <v>107.111342370551</v>
      </c>
      <c r="G27" s="14" t="n">
        <f aca="false">F27*(1+G26)</f>
        <v>111.931352777226</v>
      </c>
      <c r="H27" s="14" t="n">
        <f aca="false">G27*(1+H26)</f>
        <v>116.548521079286</v>
      </c>
      <c r="I27" s="14" t="n">
        <f aca="false">H27*(1+I26)</f>
        <v>120.919090619759</v>
      </c>
      <c r="J27" s="14" t="n">
        <f aca="false">I27*(1+J26)</f>
        <v>125.000109928176</v>
      </c>
      <c r="K27" s="14" t="n">
        <f aca="false">J27*(1+K26)</f>
        <v>128.750113226022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0.11625</v>
      </c>
      <c r="C28" s="23" t="n">
        <f aca="false">$B$11+($B$12-$B$11)*MIN(1,C24/$B$13)</f>
        <v>0.1175</v>
      </c>
      <c r="D28" s="23" t="n">
        <f aca="false">$B$11+($B$12-$B$11)*MIN(1,D24/$B$13)</f>
        <v>0.11875</v>
      </c>
      <c r="E28" s="23" t="n">
        <f aca="false">$B$11+($B$12-$B$11)*MIN(1,E24/$B$13)</f>
        <v>0.12</v>
      </c>
      <c r="F28" s="23" t="n">
        <f aca="false">$B$11+($B$12-$B$11)*MIN(1,F24/$B$13)</f>
        <v>0.12</v>
      </c>
      <c r="G28" s="23" t="n">
        <f aca="false">$B$11+($B$12-$B$11)*MIN(1,G24/$B$13)</f>
        <v>0.12</v>
      </c>
      <c r="H28" s="23" t="n">
        <f aca="false">$B$11+($B$12-$B$11)*MIN(1,H24/$B$13)</f>
        <v>0.12</v>
      </c>
      <c r="I28" s="23" t="n">
        <f aca="false">$B$11+($B$12-$B$11)*MIN(1,I24/$B$13)</f>
        <v>0.12</v>
      </c>
      <c r="J28" s="23" t="n">
        <f aca="false">$B$11+($B$12-$B$11)*MIN(1,J24/$B$13)</f>
        <v>0.12</v>
      </c>
      <c r="K28" s="23" t="n">
        <f aca="false">$B$11+($B$12-$B$11)*MIN(1,K24/$B$13)</f>
        <v>0.12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10.0753875</v>
      </c>
      <c r="C29" s="14" t="n">
        <f aca="false">C27*C28</f>
        <v>10.7947485</v>
      </c>
      <c r="D29" s="14" t="n">
        <f aca="false">D27*D28</f>
        <v>11.5232504765625</v>
      </c>
      <c r="E29" s="14" t="n">
        <f aca="false">E27*E28</f>
        <v>12.255886612125</v>
      </c>
      <c r="F29" s="14" t="n">
        <f aca="false">F27*F28</f>
        <v>12.8533610844661</v>
      </c>
      <c r="G29" s="14" t="n">
        <f aca="false">G27*G28</f>
        <v>13.4317623332671</v>
      </c>
      <c r="H29" s="14" t="n">
        <f aca="false">H27*H28</f>
        <v>13.9858225295143</v>
      </c>
      <c r="I29" s="14" t="n">
        <f aca="false">I27*I28</f>
        <v>14.5102908743711</v>
      </c>
      <c r="J29" s="14" t="n">
        <f aca="false">J27*J28</f>
        <v>15.0000131913812</v>
      </c>
      <c r="K29" s="14" t="n">
        <f aca="false">K27*K28</f>
        <v>15.4500135871226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8.4633255</v>
      </c>
      <c r="C30" s="14" t="n">
        <f aca="false">C29*(1-$B$14)</f>
        <v>9.06758874</v>
      </c>
      <c r="D30" s="14" t="n">
        <f aca="false">D29*(1-$B$14)</f>
        <v>9.6795304003125</v>
      </c>
      <c r="E30" s="14" t="n">
        <f aca="false">E29*(1-$B$14)</f>
        <v>10.294944754185</v>
      </c>
      <c r="F30" s="14" t="n">
        <f aca="false">F29*(1-$B$14)</f>
        <v>10.7968233109515</v>
      </c>
      <c r="G30" s="14" t="n">
        <f aca="false">G29*(1-$B$14)</f>
        <v>11.2826803599443</v>
      </c>
      <c r="H30" s="14" t="n">
        <f aca="false">H29*(1-$B$14)</f>
        <v>11.748090924792</v>
      </c>
      <c r="I30" s="14" t="n">
        <f aca="false">I29*(1-$B$14)</f>
        <v>12.1886443344717</v>
      </c>
      <c r="J30" s="14" t="n">
        <f aca="false">J29*(1-$B$14)</f>
        <v>12.6000110807602</v>
      </c>
      <c r="K30" s="14" t="n">
        <f aca="false">K29*(1-$B$14)</f>
        <v>12.978011413183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1.4175</v>
      </c>
      <c r="C31" s="14" t="n">
        <f aca="false">IF(ISNUMBER(C25),C25,(C27-B27)/$B$15)</f>
        <v>1.30005</v>
      </c>
      <c r="D31" s="14" t="n">
        <f aca="false">IF(ISNUMBER(D25),D25,(D27-C27)/$B$15)</f>
        <v>1.2919246875</v>
      </c>
      <c r="E31" s="14" t="n">
        <f aca="false">IF(ISNUMBER(E25),E25,(E27-D27)/$B$15)</f>
        <v>1.27362242109375</v>
      </c>
      <c r="F31" s="14" t="n">
        <f aca="false">IF(ISNUMBER(F25),F25,(F27-E27)/$B$15)</f>
        <v>1.24473848404395</v>
      </c>
      <c r="G31" s="14" t="n">
        <f aca="false">IF(ISNUMBER(G25),G25,(G27-F27)/$B$15)</f>
        <v>1.2050026016687</v>
      </c>
      <c r="H31" s="14" t="n">
        <f aca="false">IF(ISNUMBER(H25),H25,(H27-G27)/$B$15)</f>
        <v>1.15429207551514</v>
      </c>
      <c r="I31" s="14" t="n">
        <f aca="false">IF(ISNUMBER(I25),I25,(I27-H27)/$B$15)</f>
        <v>1.09264238511831</v>
      </c>
      <c r="J31" s="14" t="n">
        <f aca="false">IF(ISNUMBER(J25),J25,(J27-I27)/$B$15)</f>
        <v>1.02025482710422</v>
      </c>
      <c r="K31" s="14" t="n">
        <f aca="false">IF(ISNUMBER(K25),K25,(K27-J27)/$B$15)</f>
        <v>0.937500824461321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7.0458255</v>
      </c>
      <c r="C32" s="31" t="n">
        <f aca="false">C30-C31</f>
        <v>7.76753874</v>
      </c>
      <c r="D32" s="31" t="n">
        <f aca="false">D30-D31</f>
        <v>8.3876057128125</v>
      </c>
      <c r="E32" s="31" t="n">
        <f aca="false">E30-E31</f>
        <v>9.02132233309125</v>
      </c>
      <c r="F32" s="31" t="n">
        <f aca="false">F30-F31</f>
        <v>9.55208482690757</v>
      </c>
      <c r="G32" s="31" t="n">
        <f aca="false">G30-G31</f>
        <v>10.0776777582756</v>
      </c>
      <c r="H32" s="31" t="n">
        <f aca="false">H30-H31</f>
        <v>10.5937988492769</v>
      </c>
      <c r="I32" s="31" t="n">
        <f aca="false">I30-I31</f>
        <v>11.0960019493534</v>
      </c>
      <c r="J32" s="31" t="n">
        <f aca="false">J30-J31</f>
        <v>11.5797562536559</v>
      </c>
      <c r="K32" s="31" t="n">
        <f aca="false">K30-K31</f>
        <v>12.0405105887216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0.961699534244814</v>
      </c>
      <c r="C33" s="32" t="n">
        <f aca="false">1/(1+$B$18)^(C24-0.5)</f>
        <v>0.889443195828974</v>
      </c>
      <c r="D33" s="32" t="n">
        <f aca="false">1/(1+$B$18)^(D24-0.5)</f>
        <v>0.822615765565163</v>
      </c>
      <c r="E33" s="32" t="n">
        <f aca="false">1/(1+$B$18)^(E24-0.5)</f>
        <v>0.760809347836618</v>
      </c>
      <c r="F33" s="32" t="n">
        <f aca="false">1/(1+$B$18)^(F24-0.5)</f>
        <v>0.703646693858226</v>
      </c>
      <c r="G33" s="32" t="n">
        <f aca="false">1/(1+$B$18)^(G24-0.5)</f>
        <v>0.650778899057293</v>
      </c>
      <c r="H33" s="32" t="n">
        <f aca="false">1/(1+$B$18)^(H24-0.5)</f>
        <v>0.601883273459329</v>
      </c>
      <c r="I33" s="32" t="n">
        <f aca="false">1/(1+$B$18)^(I24-0.5)</f>
        <v>0.556661372080264</v>
      </c>
      <c r="J33" s="32" t="n">
        <f aca="false">1/(1+$B$18)^(J24-0.5)</f>
        <v>0.514837173303208</v>
      </c>
      <c r="K33" s="32" t="n">
        <f aca="false">1/(1+$B$18)^(K24-0.5)</f>
        <v>0.476155394121041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6.77596710172023</v>
      </c>
      <c r="C34" s="14" t="n">
        <f aca="false">C32*C33</f>
        <v>6.90878448063096</v>
      </c>
      <c r="D34" s="14" t="n">
        <f aca="false">D32*D33</f>
        <v>6.89977669470399</v>
      </c>
      <c r="E34" s="14" t="n">
        <f aca="false">E32*E33</f>
        <v>6.86350636086307</v>
      </c>
      <c r="F34" s="14" t="n">
        <f aca="false">F32*F33</f>
        <v>6.72129290790684</v>
      </c>
      <c r="G34" s="14" t="n">
        <f aca="false">G32*G33</f>
        <v>6.5583400365848</v>
      </c>
      <c r="H34" s="14" t="n">
        <f aca="false">H32*H33</f>
        <v>6.37623032977245</v>
      </c>
      <c r="I34" s="14" t="n">
        <f aca="false">I32*I33</f>
        <v>6.17671566973237</v>
      </c>
      <c r="J34" s="14" t="n">
        <f aca="false">J32*J33</f>
        <v>5.96168897717238</v>
      </c>
      <c r="K34" s="14" t="n">
        <f aca="false">K32*K33</f>
        <v>5.73315406479132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64.9754566238784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13.3673517555785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208.711104676637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99.3789183047418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164.35437492862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149.85437492862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647.319114162506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0.04</v>
      </c>
    </row>
    <row r="9" customFormat="false" ht="15" hidden="false" customHeight="false" outlineLevel="0" collapsed="false">
      <c r="A9" s="7" t="s">
        <v>45</v>
      </c>
      <c r="B9" s="16" t="n">
        <v>0.03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</v>
      </c>
    </row>
    <row r="12" customFormat="false" ht="15" hidden="false" customHeight="false" outlineLevel="0" collapsed="false">
      <c r="A12" s="7" t="s">
        <v>49</v>
      </c>
      <c r="B12" s="16" t="n">
        <v>0.105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0.0912377212560451</v>
      </c>
    </row>
    <row r="19" customFormat="false" ht="15" hidden="false" customHeight="false" outlineLevel="0" collapsed="false">
      <c r="A19" s="7" t="s">
        <v>58</v>
      </c>
      <c r="B19" s="15" t="n">
        <v>-14.5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0.2315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0.04</v>
      </c>
      <c r="C26" s="23" t="n">
        <f aca="false">$B$9</f>
        <v>0.03</v>
      </c>
      <c r="D26" s="23" t="n">
        <f aca="false">$B$9+($B$10-$B$9)*(D24-2)/8</f>
        <v>0.03</v>
      </c>
      <c r="E26" s="23" t="n">
        <f aca="false">$B$9+($B$10-$B$9)*(E24-2)/8</f>
        <v>0.03</v>
      </c>
      <c r="F26" s="23" t="n">
        <f aca="false">$B$9+($B$10-$B$9)*(F24-2)/8</f>
        <v>0.03</v>
      </c>
      <c r="G26" s="23" t="n">
        <f aca="false">$B$9+($B$10-$B$9)*(G24-2)/8</f>
        <v>0.03</v>
      </c>
      <c r="H26" s="23" t="n">
        <f aca="false">$B$9+($B$10-$B$9)*(H24-2)/8</f>
        <v>0.03</v>
      </c>
      <c r="I26" s="23" t="n">
        <f aca="false">$B$9+($B$10-$B$9)*(I24-2)/8</f>
        <v>0.03</v>
      </c>
      <c r="J26" s="23" t="n">
        <f aca="false">$B$9+($B$10-$B$9)*(J24-2)/8</f>
        <v>0.03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84.24</v>
      </c>
      <c r="C27" s="14" t="n">
        <f aca="false">B27*(1+C26)</f>
        <v>86.7672</v>
      </c>
      <c r="D27" s="14" t="n">
        <f aca="false">C27*(1+D26)</f>
        <v>89.370216</v>
      </c>
      <c r="E27" s="14" t="n">
        <f aca="false">D27*(1+E26)</f>
        <v>92.05132248</v>
      </c>
      <c r="F27" s="14" t="n">
        <f aca="false">E27*(1+F26)</f>
        <v>94.8128621544</v>
      </c>
      <c r="G27" s="14" t="n">
        <f aca="false">F27*(1+G26)</f>
        <v>97.657248019032</v>
      </c>
      <c r="H27" s="14" t="n">
        <f aca="false">G27*(1+H26)</f>
        <v>100.586965459603</v>
      </c>
      <c r="I27" s="14" t="n">
        <f aca="false">H27*(1+I26)</f>
        <v>103.604574423391</v>
      </c>
      <c r="J27" s="14" t="n">
        <f aca="false">I27*(1+J26)</f>
        <v>106.712711656093</v>
      </c>
      <c r="K27" s="14" t="n">
        <f aca="false">J27*(1+K26)</f>
        <v>109.914093005776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0.10125</v>
      </c>
      <c r="C28" s="23" t="n">
        <f aca="false">$B$11+($B$12-$B$11)*MIN(1,C24/$B$13)</f>
        <v>0.1025</v>
      </c>
      <c r="D28" s="23" t="n">
        <f aca="false">$B$11+($B$12-$B$11)*MIN(1,D24/$B$13)</f>
        <v>0.10375</v>
      </c>
      <c r="E28" s="23" t="n">
        <f aca="false">$B$11+($B$12-$B$11)*MIN(1,E24/$B$13)</f>
        <v>0.105</v>
      </c>
      <c r="F28" s="23" t="n">
        <f aca="false">$B$11+($B$12-$B$11)*MIN(1,F24/$B$13)</f>
        <v>0.105</v>
      </c>
      <c r="G28" s="23" t="n">
        <f aca="false">$B$11+($B$12-$B$11)*MIN(1,G24/$B$13)</f>
        <v>0.105</v>
      </c>
      <c r="H28" s="23" t="n">
        <f aca="false">$B$11+($B$12-$B$11)*MIN(1,H24/$B$13)</f>
        <v>0.105</v>
      </c>
      <c r="I28" s="23" t="n">
        <f aca="false">$B$11+($B$12-$B$11)*MIN(1,I24/$B$13)</f>
        <v>0.105</v>
      </c>
      <c r="J28" s="23" t="n">
        <f aca="false">$B$11+($B$12-$B$11)*MIN(1,J24/$B$13)</f>
        <v>0.105</v>
      </c>
      <c r="K28" s="23" t="n">
        <f aca="false">$B$11+($B$12-$B$11)*MIN(1,K24/$B$13)</f>
        <v>0.105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8.5293</v>
      </c>
      <c r="C29" s="14" t="n">
        <f aca="false">C27*C28</f>
        <v>8.893638</v>
      </c>
      <c r="D29" s="14" t="n">
        <f aca="false">D27*D28</f>
        <v>9.27215991</v>
      </c>
      <c r="E29" s="14" t="n">
        <f aca="false">E27*E28</f>
        <v>9.6653888604</v>
      </c>
      <c r="F29" s="14" t="n">
        <f aca="false">F27*F28</f>
        <v>9.955350526212</v>
      </c>
      <c r="G29" s="14" t="n">
        <f aca="false">G27*G28</f>
        <v>10.2540110419984</v>
      </c>
      <c r="H29" s="14" t="n">
        <f aca="false">H27*H28</f>
        <v>10.5616313732583</v>
      </c>
      <c r="I29" s="14" t="n">
        <f aca="false">I27*I28</f>
        <v>10.8784803144561</v>
      </c>
      <c r="J29" s="14" t="n">
        <f aca="false">J27*J28</f>
        <v>11.2048347238897</v>
      </c>
      <c r="K29" s="14" t="n">
        <f aca="false">K27*K28</f>
        <v>11.5409797656064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7.164612</v>
      </c>
      <c r="C30" s="14" t="n">
        <f aca="false">C29*(1-$B$14)</f>
        <v>7.47065592</v>
      </c>
      <c r="D30" s="14" t="n">
        <f aca="false">D29*(1-$B$14)</f>
        <v>7.7886143244</v>
      </c>
      <c r="E30" s="14" t="n">
        <f aca="false">E29*(1-$B$14)</f>
        <v>8.118926642736</v>
      </c>
      <c r="F30" s="14" t="n">
        <f aca="false">F29*(1-$B$14)</f>
        <v>8.36249444201808</v>
      </c>
      <c r="G30" s="14" t="n">
        <f aca="false">G29*(1-$B$14)</f>
        <v>8.61336927527862</v>
      </c>
      <c r="H30" s="14" t="n">
        <f aca="false">H29*(1-$B$14)</f>
        <v>8.87177035353698</v>
      </c>
      <c r="I30" s="14" t="n">
        <f aca="false">I29*(1-$B$14)</f>
        <v>9.13792346414309</v>
      </c>
      <c r="J30" s="14" t="n">
        <f aca="false">J29*(1-$B$14)</f>
        <v>9.41206116806739</v>
      </c>
      <c r="K30" s="14" t="n">
        <f aca="false">K29*(1-$B$14)</f>
        <v>9.69442300310941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0.810000000000002</v>
      </c>
      <c r="C31" s="14" t="n">
        <f aca="false">IF(ISNUMBER(C25),C25,(C27-B27)/$B$15)</f>
        <v>0.631800000000002</v>
      </c>
      <c r="D31" s="14" t="n">
        <f aca="false">IF(ISNUMBER(D25),D25,(D27-C27)/$B$15)</f>
        <v>0.650753999999999</v>
      </c>
      <c r="E31" s="14" t="n">
        <f aca="false">IF(ISNUMBER(E25),E25,(E27-D27)/$B$15)</f>
        <v>0.670276619999999</v>
      </c>
      <c r="F31" s="14" t="n">
        <f aca="false">IF(ISNUMBER(F25),F25,(F27-E27)/$B$15)</f>
        <v>0.6903849186</v>
      </c>
      <c r="G31" s="14" t="n">
        <f aca="false">IF(ISNUMBER(G25),G25,(G27-F27)/$B$15)</f>
        <v>0.711096466158001</v>
      </c>
      <c r="H31" s="14" t="n">
        <f aca="false">IF(ISNUMBER(H25),H25,(H27-G27)/$B$15)</f>
        <v>0.732429360142742</v>
      </c>
      <c r="I31" s="14" t="n">
        <f aca="false">IF(ISNUMBER(I25),I25,(I27-H27)/$B$15)</f>
        <v>0.754402240947023</v>
      </c>
      <c r="J31" s="14" t="n">
        <f aca="false">IF(ISNUMBER(J25),J25,(J27-I27)/$B$15)</f>
        <v>0.777034308175434</v>
      </c>
      <c r="K31" s="14" t="n">
        <f aca="false">IF(ISNUMBER(K25),K25,(K27-J27)/$B$15)</f>
        <v>0.800345337420698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6.354612</v>
      </c>
      <c r="C32" s="31" t="n">
        <f aca="false">C30-C31</f>
        <v>6.83885592</v>
      </c>
      <c r="D32" s="31" t="n">
        <f aca="false">D30-D31</f>
        <v>7.1378603244</v>
      </c>
      <c r="E32" s="31" t="n">
        <f aca="false">E30-E31</f>
        <v>7.448650022736</v>
      </c>
      <c r="F32" s="31" t="n">
        <f aca="false">F30-F31</f>
        <v>7.67210952341808</v>
      </c>
      <c r="G32" s="31" t="n">
        <f aca="false">G30-G31</f>
        <v>7.90227280912062</v>
      </c>
      <c r="H32" s="31" t="n">
        <f aca="false">H30-H31</f>
        <v>8.13934099339424</v>
      </c>
      <c r="I32" s="31" t="n">
        <f aca="false">I30-I31</f>
        <v>8.38352122319607</v>
      </c>
      <c r="J32" s="31" t="n">
        <f aca="false">J30-J31</f>
        <v>8.63502685989195</v>
      </c>
      <c r="K32" s="31" t="n">
        <f aca="false">K30-K31</f>
        <v>8.89407766568871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0.95728293051211</v>
      </c>
      <c r="C33" s="32" t="n">
        <f aca="false">1/(1+$B$18)^(C24-0.5)</f>
        <v>0.877245087725019</v>
      </c>
      <c r="D33" s="32" t="n">
        <f aca="false">1/(1+$B$18)^(D24-0.5)</f>
        <v>0.803899160226321</v>
      </c>
      <c r="E33" s="32" t="n">
        <f aca="false">1/(1+$B$18)^(E24-0.5)</f>
        <v>0.736685641054463</v>
      </c>
      <c r="F33" s="32" t="n">
        <f aca="false">1/(1+$B$18)^(F24-0.5)</f>
        <v>0.67509180328418</v>
      </c>
      <c r="G33" s="32" t="n">
        <f aca="false">1/(1+$B$18)^(G24-0.5)</f>
        <v>0.618647788776153</v>
      </c>
      <c r="H33" s="32" t="n">
        <f aca="false">1/(1+$B$18)^(H24-0.5)</f>
        <v>0.566923023943923</v>
      </c>
      <c r="I33" s="32" t="n">
        <f aca="false">1/(1+$B$18)^(I24-0.5)</f>
        <v>0.519522935196356</v>
      </c>
      <c r="J33" s="32" t="n">
        <f aca="false">1/(1+$B$18)^(J24-0.5)</f>
        <v>0.476085938999955</v>
      </c>
      <c r="K33" s="32" t="n">
        <f aca="false">1/(1+$B$18)^(K24-0.5)</f>
        <v>0.43628068360024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6.08316159762742</v>
      </c>
      <c r="C34" s="14" t="n">
        <f aca="false">C32*C33</f>
        <v>5.99935276147917</v>
      </c>
      <c r="D34" s="14" t="n">
        <f aca="false">D32*D33</f>
        <v>5.73811992059794</v>
      </c>
      <c r="E34" s="14" t="n">
        <f aca="false">E32*E33</f>
        <v>5.48731351698961</v>
      </c>
      <c r="F34" s="14" t="n">
        <f aca="false">F32*F33</f>
        <v>5.17937825315805</v>
      </c>
      <c r="G34" s="14" t="n">
        <f aca="false">G32*G33</f>
        <v>4.88872359966839</v>
      </c>
      <c r="H34" s="14" t="n">
        <f aca="false">H32*H33</f>
        <v>4.6143798088858</v>
      </c>
      <c r="I34" s="14" t="n">
        <f aca="false">I32*I33</f>
        <v>4.35543155315577</v>
      </c>
      <c r="J34" s="14" t="n">
        <f aca="false">J32*J33</f>
        <v>4.1110148708815</v>
      </c>
      <c r="K34" s="14" t="n">
        <f aca="false">K32*K33</f>
        <v>3.8803142839803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50.3371901664239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9.98525569320269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130.445816577043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56.9109900290239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107.248180195448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92.7481801954478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400.640087237355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81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0.09</v>
      </c>
    </row>
    <row r="9" customFormat="false" ht="15" hidden="false" customHeight="false" outlineLevel="0" collapsed="false">
      <c r="A9" s="7" t="s">
        <v>45</v>
      </c>
      <c r="B9" s="16" t="n">
        <v>0.08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0.12</v>
      </c>
    </row>
    <row r="12" customFormat="false" ht="15" hidden="false" customHeight="false" outlineLevel="0" collapsed="false">
      <c r="A12" s="7" t="s">
        <v>49</v>
      </c>
      <c r="B12" s="16" t="n">
        <v>0.13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4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0.0712377212560451</v>
      </c>
    </row>
    <row r="19" customFormat="false" ht="15" hidden="false" customHeight="false" outlineLevel="0" collapsed="false">
      <c r="A19" s="7" t="s">
        <v>58</v>
      </c>
      <c r="B19" s="15" t="n">
        <v>-14.5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0.2315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0.09</v>
      </c>
      <c r="C26" s="23" t="n">
        <f aca="false">$B$9</f>
        <v>0.08</v>
      </c>
      <c r="D26" s="23" t="n">
        <f aca="false">$B$9+($B$10-$B$9)*(D24-2)/8</f>
        <v>0.07375</v>
      </c>
      <c r="E26" s="23" t="n">
        <f aca="false">$B$9+($B$10-$B$9)*(E24-2)/8</f>
        <v>0.0675</v>
      </c>
      <c r="F26" s="23" t="n">
        <f aca="false">$B$9+($B$10-$B$9)*(F24-2)/8</f>
        <v>0.06125</v>
      </c>
      <c r="G26" s="23" t="n">
        <f aca="false">$B$9+($B$10-$B$9)*(G24-2)/8</f>
        <v>0.055</v>
      </c>
      <c r="H26" s="23" t="n">
        <f aca="false">$B$9+($B$10-$B$9)*(H24-2)/8</f>
        <v>0.04875</v>
      </c>
      <c r="I26" s="23" t="n">
        <f aca="false">$B$9+($B$10-$B$9)*(I24-2)/8</f>
        <v>0.0425</v>
      </c>
      <c r="J26" s="23" t="n">
        <f aca="false">$B$9+($B$10-$B$9)*(J24-2)/8</f>
        <v>0.03625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88.29</v>
      </c>
      <c r="C27" s="14" t="n">
        <f aca="false">B27*(1+C26)</f>
        <v>95.3532</v>
      </c>
      <c r="D27" s="14" t="n">
        <f aca="false">C27*(1+D26)</f>
        <v>102.3854985</v>
      </c>
      <c r="E27" s="14" t="n">
        <f aca="false">D27*(1+E26)</f>
        <v>109.29651964875</v>
      </c>
      <c r="F27" s="14" t="n">
        <f aca="false">E27*(1+F26)</f>
        <v>115.990931477236</v>
      </c>
      <c r="G27" s="14" t="n">
        <f aca="false">F27*(1+G26)</f>
        <v>122.370432708484</v>
      </c>
      <c r="H27" s="14" t="n">
        <f aca="false">G27*(1+H26)</f>
        <v>128.335991303023</v>
      </c>
      <c r="I27" s="14" t="n">
        <f aca="false">H27*(1+I26)</f>
        <v>133.790270933401</v>
      </c>
      <c r="J27" s="14" t="n">
        <f aca="false">I27*(1+J26)</f>
        <v>138.640168254737</v>
      </c>
      <c r="K27" s="14" t="n">
        <f aca="false">J27*(1+K26)</f>
        <v>142.799373302379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0.1225</v>
      </c>
      <c r="C28" s="23" t="n">
        <f aca="false">$B$11+($B$12-$B$11)*MIN(1,C24/$B$13)</f>
        <v>0.125</v>
      </c>
      <c r="D28" s="23" t="n">
        <f aca="false">$B$11+($B$12-$B$11)*MIN(1,D24/$B$13)</f>
        <v>0.1275</v>
      </c>
      <c r="E28" s="23" t="n">
        <f aca="false">$B$11+($B$12-$B$11)*MIN(1,E24/$B$13)</f>
        <v>0.13</v>
      </c>
      <c r="F28" s="23" t="n">
        <f aca="false">$B$11+($B$12-$B$11)*MIN(1,F24/$B$13)</f>
        <v>0.13</v>
      </c>
      <c r="G28" s="23" t="n">
        <f aca="false">$B$11+($B$12-$B$11)*MIN(1,G24/$B$13)</f>
        <v>0.13</v>
      </c>
      <c r="H28" s="23" t="n">
        <f aca="false">$B$11+($B$12-$B$11)*MIN(1,H24/$B$13)</f>
        <v>0.13</v>
      </c>
      <c r="I28" s="23" t="n">
        <f aca="false">$B$11+($B$12-$B$11)*MIN(1,I24/$B$13)</f>
        <v>0.13</v>
      </c>
      <c r="J28" s="23" t="n">
        <f aca="false">$B$11+($B$12-$B$11)*MIN(1,J24/$B$13)</f>
        <v>0.13</v>
      </c>
      <c r="K28" s="23" t="n">
        <f aca="false">$B$11+($B$12-$B$11)*MIN(1,K24/$B$13)</f>
        <v>0.13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10.815525</v>
      </c>
      <c r="C29" s="14" t="n">
        <f aca="false">C27*C28</f>
        <v>11.91915</v>
      </c>
      <c r="D29" s="14" t="n">
        <f aca="false">D27*D28</f>
        <v>13.05415105875</v>
      </c>
      <c r="E29" s="14" t="n">
        <f aca="false">E27*E28</f>
        <v>14.2085475543375</v>
      </c>
      <c r="F29" s="14" t="n">
        <f aca="false">F27*F28</f>
        <v>15.0788210920407</v>
      </c>
      <c r="G29" s="14" t="n">
        <f aca="false">G27*G28</f>
        <v>15.9081562521029</v>
      </c>
      <c r="H29" s="14" t="n">
        <f aca="false">H27*H28</f>
        <v>16.6836788693929</v>
      </c>
      <c r="I29" s="14" t="n">
        <f aca="false">I27*I28</f>
        <v>17.3927352213421</v>
      </c>
      <c r="J29" s="14" t="n">
        <f aca="false">J27*J28</f>
        <v>18.0232218731158</v>
      </c>
      <c r="K29" s="14" t="n">
        <f aca="false">K27*K28</f>
        <v>18.5639185293093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9.085041</v>
      </c>
      <c r="C30" s="14" t="n">
        <f aca="false">C29*(1-$B$14)</f>
        <v>10.012086</v>
      </c>
      <c r="D30" s="14" t="n">
        <f aca="false">D29*(1-$B$14)</f>
        <v>10.96548688935</v>
      </c>
      <c r="E30" s="14" t="n">
        <f aca="false">E29*(1-$B$14)</f>
        <v>11.9351799456435</v>
      </c>
      <c r="F30" s="14" t="n">
        <f aca="false">F29*(1-$B$14)</f>
        <v>12.6662097173142</v>
      </c>
      <c r="G30" s="14" t="n">
        <f aca="false">G29*(1-$B$14)</f>
        <v>13.3628512517664</v>
      </c>
      <c r="H30" s="14" t="n">
        <f aca="false">H29*(1-$B$14)</f>
        <v>14.0142902502901</v>
      </c>
      <c r="I30" s="14" t="n">
        <f aca="false">I29*(1-$B$14)</f>
        <v>14.6098975859274</v>
      </c>
      <c r="J30" s="14" t="n">
        <f aca="false">J29*(1-$B$14)</f>
        <v>15.1395063734173</v>
      </c>
      <c r="K30" s="14" t="n">
        <f aca="false">K29*(1-$B$14)</f>
        <v>15.5936915646198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1.8225</v>
      </c>
      <c r="C31" s="14" t="n">
        <f aca="false">IF(ISNUMBER(C25),C25,(C27-B27)/$B$15)</f>
        <v>1.7658</v>
      </c>
      <c r="D31" s="14" t="n">
        <f aca="false">IF(ISNUMBER(D25),D25,(D27-C27)/$B$15)</f>
        <v>1.758074625</v>
      </c>
      <c r="E31" s="14" t="n">
        <f aca="false">IF(ISNUMBER(E25),E25,(E27-D27)/$B$15)</f>
        <v>1.7277552871875</v>
      </c>
      <c r="F31" s="14" t="n">
        <f aca="false">IF(ISNUMBER(F25),F25,(F27-E27)/$B$15)</f>
        <v>1.67360295712149</v>
      </c>
      <c r="G31" s="14" t="n">
        <f aca="false">IF(ISNUMBER(G25),G25,(G27-F27)/$B$15)</f>
        <v>1.59487530781199</v>
      </c>
      <c r="H31" s="14" t="n">
        <f aca="false">IF(ISNUMBER(H25),H25,(H27-G27)/$B$15)</f>
        <v>1.49138964863465</v>
      </c>
      <c r="I31" s="14" t="n">
        <f aca="false">IF(ISNUMBER(I25),I25,(I27-H27)/$B$15)</f>
        <v>1.36356990759462</v>
      </c>
      <c r="J31" s="14" t="n">
        <f aca="false">IF(ISNUMBER(J25),J25,(J27-I27)/$B$15)</f>
        <v>1.21247433033394</v>
      </c>
      <c r="K31" s="14" t="n">
        <f aca="false">IF(ISNUMBER(K25),K25,(K27-J27)/$B$15)</f>
        <v>1.03980126191053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7.262541</v>
      </c>
      <c r="C32" s="31" t="n">
        <f aca="false">C30-C31</f>
        <v>8.246286</v>
      </c>
      <c r="D32" s="31" t="n">
        <f aca="false">D30-D31</f>
        <v>9.20741226435</v>
      </c>
      <c r="E32" s="31" t="n">
        <f aca="false">E30-E31</f>
        <v>10.207424658456</v>
      </c>
      <c r="F32" s="31" t="n">
        <f aca="false">F30-F31</f>
        <v>10.9926067601927</v>
      </c>
      <c r="G32" s="31" t="n">
        <f aca="false">G30-G31</f>
        <v>11.7679759439545</v>
      </c>
      <c r="H32" s="31" t="n">
        <f aca="false">H30-H31</f>
        <v>12.5229006016554</v>
      </c>
      <c r="I32" s="31" t="n">
        <f aca="false">I30-I31</f>
        <v>13.2463276783328</v>
      </c>
      <c r="J32" s="31" t="n">
        <f aca="false">J30-J31</f>
        <v>13.9270320430833</v>
      </c>
      <c r="K32" s="31" t="n">
        <f aca="false">K30-K31</f>
        <v>14.5538903027092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0.966177838008275</v>
      </c>
      <c r="C33" s="32" t="n">
        <f aca="false">1/(1+$B$18)^(C24-0.5)</f>
        <v>0.901926639472156</v>
      </c>
      <c r="D33" s="32" t="n">
        <f aca="false">1/(1+$B$18)^(D24-0.5)</f>
        <v>0.841948170397352</v>
      </c>
      <c r="E33" s="32" t="n">
        <f aca="false">1/(1+$B$18)^(E24-0.5)</f>
        <v>0.785958292628225</v>
      </c>
      <c r="F33" s="32" t="n">
        <f aca="false">1/(1+$B$18)^(F24-0.5)</f>
        <v>0.733691763305978</v>
      </c>
      <c r="G33" s="32" t="n">
        <f aca="false">1/(1+$B$18)^(G24-0.5)</f>
        <v>0.684900978324131</v>
      </c>
      <c r="H33" s="32" t="n">
        <f aca="false">1/(1+$B$18)^(H24-0.5)</f>
        <v>0.639354799344698</v>
      </c>
      <c r="I33" s="32" t="n">
        <f aca="false">1/(1+$B$18)^(I24-0.5)</f>
        <v>0.596837458818239</v>
      </c>
      <c r="J33" s="32" t="n">
        <f aca="false">1/(1+$B$18)^(J24-0.5)</f>
        <v>0.557147537820491</v>
      </c>
      <c r="K33" s="32" t="n">
        <f aca="false">1/(1+$B$18)^(K24-0.5)</f>
        <v>0.520097011863273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7.01690616182645</v>
      </c>
      <c r="C34" s="14" t="n">
        <f aca="false">C32*C33</f>
        <v>7.43754502010628</v>
      </c>
      <c r="D34" s="14" t="n">
        <f aca="false">D32*D33</f>
        <v>7.75216391006362</v>
      </c>
      <c r="E34" s="14" t="n">
        <f aca="false">E32*E33</f>
        <v>8.02261005669132</v>
      </c>
      <c r="F34" s="14" t="n">
        <f aca="false">F32*F33</f>
        <v>8.06518503721498</v>
      </c>
      <c r="G34" s="14" t="n">
        <f aca="false">G32*G33</f>
        <v>8.05989823690924</v>
      </c>
      <c r="H34" s="14" t="n">
        <f aca="false">H32*H33</f>
        <v>8.006576601385</v>
      </c>
      <c r="I34" s="14" t="n">
        <f aca="false">I32*I33</f>
        <v>7.90590455020983</v>
      </c>
      <c r="J34" s="14" t="n">
        <f aca="false">J32*J33</f>
        <v>7.75941161195094</v>
      </c>
      <c r="K34" s="14" t="n">
        <f aca="false">K32*K33</f>
        <v>7.56943485742494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77.5956360437826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16.0615023115584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311.588551885929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162.056274766676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239.651910810459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225.151910810459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972.578448425307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2026-10-22T20:17:49Z</dcterms:created>
  <dc:creator>LDB Finance</dc:creator>
  <dc:description/>
  <dc:language>en-US</dc:language>
  <cp:lastModifiedBy/>
  <dcterms:modified xsi:type="dcterms:W3CDTF">2026-10-22T20:17:50Z</dcterms:modified>
  <cp:revision>0</cp:revision>
  <dc:subject/>
  <dc:title>Lockheed Martin (LMT)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