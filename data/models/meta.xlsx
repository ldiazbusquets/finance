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<sst xmlns="http://schemas.openxmlformats.org/spreadsheetml/2006/main" count="214" uniqueCount="93">
  <si>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</si>
  <si>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Meta Platforms (META)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</si>
  <si>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</si>
  <si>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</si>
  <si>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</si>
  <si>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</si>
  <si>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</si>
  <si>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</si>
  <si>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</si>
  <si>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</si>
  <si>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</si>
  <si>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</si>
  <si>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</si>
  <si>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</si>
  <si>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</si>
  <si>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</si>
  <si>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</si>
  <si>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</si>
  <si>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</si>
  <si>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</si>
  <si>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</si>
  <si>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</si>
  <si>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</si>
  <si>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</si>
  <si>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</si>
  <si>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</si>
  <si>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</si>
  <si>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</si>
  <si>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</si>
  <si>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</si>
  <si>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</si>
  <si>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</si>
  <si>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</si>
  <si>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</si>
  <si>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</si>
  <si>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</si>
  <si>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</si>
  <si>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</si>
  <si>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https://github.com/ldiazbusquets/finance/blob/main/_source/models/meta.py,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</si>
  <si>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</si>
  <si>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</si>
  <si>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</si>
  <si>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</si>
  <si>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Base revenue for 2026, $256B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</si>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</sst>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1.42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0.1154</v>
      </c>
    </row>
    <row r="11" customFormat="false" ht="15" hidden="false" customHeight="false" outlineLevel="0" collapsed="false">
      <c r="A11" s="7" t="s">
        <v>11</v>
      </c>
      <c r="B11" s="12" t="n">
        <v>697.52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2.573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1794.71896</v>
      </c>
    </row>
    <row r="14" customFormat="false" ht="15" hidden="false" customHeight="false" outlineLevel="0" collapsed="false">
      <c r="A14" s="7" t="s">
        <v>16</v>
      </c>
      <c r="B14" s="15" t="n">
        <v>80.92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0.112125474288506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222.675355609585</v>
      </c>
      <c r="C21" s="21" t="n">
        <f aca="false">Base!$B$43</f>
        <v>530.90803766272</v>
      </c>
      <c r="D21" s="21" t="n">
        <f aca="false">Bull!$B$43</f>
        <v>918.437060634143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550.732122892292</v>
      </c>
    </row>
    <row r="24" customFormat="false" ht="15" hidden="false" customHeight="false" outlineLevel="0" collapsed="false">
      <c r="A24" s="7" t="s">
        <v>29</v>
      </c>
      <c r="C24" s="12" t="n">
        <v>697.52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-0.210442535135492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0.085</v>
      </c>
      <c r="C29" s="26" t="n">
        <f aca="false">(SUMPRODUCT(Base!$B$32:$K$32,1/(1+B29)^(Base!$B$24:$K$24-0.5))+Base!$K$29*(1+Base!$B$10)*(1-Base!$B$14)*(1-Base!$B$10/Base!$B$16)/(B29-Base!$B$10)/(1+B29)^9.5+Base!$B$19)/Base!$B$20</f>
        <v>845.341452906727</v>
      </c>
    </row>
    <row r="30" customFormat="false" ht="15" hidden="false" customHeight="false" outlineLevel="0" collapsed="false">
      <c r="A30" s="24"/>
      <c r="B30" s="25" t="n">
        <v>0.09</v>
      </c>
      <c r="C30" s="26" t="n">
        <f aca="false">(SUMPRODUCT(Base!$B$32:$K$32,1/(1+B30)^(Base!$B$24:$K$24-0.5))+Base!$K$29*(1+Base!$B$10)*(1-Base!$B$14)*(1-Base!$B$10/Base!$B$16)/(B30-Base!$B$10)/(1+B30)^9.5+Base!$B$19)/Base!$B$20</f>
        <v>765.690176025979</v>
      </c>
    </row>
    <row r="31" customFormat="false" ht="15" hidden="false" customHeight="false" outlineLevel="0" collapsed="false">
      <c r="A31" s="24"/>
      <c r="B31" s="25" t="n">
        <v>0.095</v>
      </c>
      <c r="C31" s="26" t="n">
        <f aca="false">(SUMPRODUCT(Base!$B$32:$K$32,1/(1+B31)^(Base!$B$24:$K$24-0.5))+Base!$K$29*(1+Base!$B$10)*(1-Base!$B$14)*(1-Base!$B$10/Base!$B$16)/(B31-Base!$B$10)/(1+B31)^9.5+Base!$B$19)/Base!$B$20</f>
        <v>698.428855527499</v>
      </c>
    </row>
    <row r="32" customFormat="false" ht="15" hidden="false" customHeight="false" outlineLevel="0" collapsed="false">
      <c r="A32" s="24"/>
      <c r="B32" s="25" t="n">
        <v>0.1</v>
      </c>
      <c r="C32" s="26" t="n">
        <f aca="false">(SUMPRODUCT(Base!$B$32:$K$32,1/(1+B32)^(Base!$B$24:$K$24-0.5))+Base!$K$29*(1+Base!$B$10)*(1-Base!$B$14)*(1-Base!$B$10/Base!$B$16)/(B32-Base!$B$10)/(1+B32)^9.5+Base!$B$19)/Base!$B$20</f>
        <v>640.900313337985</v>
      </c>
    </row>
    <row r="33" customFormat="false" ht="15" hidden="false" customHeight="false" outlineLevel="0" collapsed="false">
      <c r="A33" s="9" t="s">
        <v>35</v>
      </c>
    </row>
    <row r="35" customFormat="false" ht="19.5" hidden="false" customHeight="true" outlineLevel="0" collapsed="false">
      <c r="A35" s="5" t="s">
        <v>36</v>
      </c>
      <c r="B35" s="6"/>
      <c r="C35" s="6"/>
      <c r="D35" s="6"/>
      <c r="E35" s="6"/>
    </row>
    <row r="36" customFormat="false" ht="15" hidden="false" customHeight="false" outlineLevel="0" collapsed="false">
      <c r="A36" s="9" t="s">
        <v>37</v>
      </c>
    </row>
    <row r="37" customFormat="false" ht="15" hidden="false" customHeight="false" outlineLevel="0" collapsed="false">
      <c r="A37" s="9" t="s">
        <v>38</v>
      </c>
    </row>
    <row r="38" customFormat="false" ht="15" hidden="false" customHeight="false" outlineLevel="0" collapsed="false">
      <c r="A38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256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0.18</v>
      </c>
    </row>
    <row r="9" customFormat="false" ht="15" hidden="false" customHeight="false" outlineLevel="0" collapsed="false">
      <c r="A9" s="7" t="s">
        <v>45</v>
      </c>
      <c r="B9" s="16" t="n">
        <v>0.14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0.34</v>
      </c>
    </row>
    <row r="12" customFormat="false" ht="15" hidden="false" customHeight="false" outlineLevel="0" collapsed="false">
      <c r="A12" s="7" t="s">
        <v>49</v>
      </c>
      <c r="B12" s="16" t="n">
        <v>0.38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0.112125474288506</v>
      </c>
    </row>
    <row r="19" customFormat="false" ht="15" hidden="false" customHeight="false" outlineLevel="0" collapsed="false">
      <c r="A19" s="7" t="s">
        <v>58</v>
      </c>
      <c r="B19" s="15" t="n">
        <v>1.5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2.573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110</v>
      </c>
      <c r="C25" s="15" t="n">
        <v>90</v>
      </c>
      <c r="D25" s="15" t="n">
        <v>60</v>
      </c>
      <c r="E25" s="15" t="n">
        <v>40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0.18</v>
      </c>
      <c r="C26" s="23" t="n">
        <f aca="false">$B$9</f>
        <v>0.14</v>
      </c>
      <c r="D26" s="23" t="n">
        <f aca="false">$B$9+($B$10-$B$9)*(D24-2)/8</f>
        <v>0.12625</v>
      </c>
      <c r="E26" s="23" t="n">
        <f aca="false">$B$9+($B$10-$B$9)*(E24-2)/8</f>
        <v>0.1125</v>
      </c>
      <c r="F26" s="23" t="n">
        <f aca="false">$B$9+($B$10-$B$9)*(F24-2)/8</f>
        <v>0.09875</v>
      </c>
      <c r="G26" s="23" t="n">
        <f aca="false">$B$9+($B$10-$B$9)*(G24-2)/8</f>
        <v>0.085</v>
      </c>
      <c r="H26" s="23" t="n">
        <f aca="false">$B$9+($B$10-$B$9)*(H24-2)/8</f>
        <v>0.07125</v>
      </c>
      <c r="I26" s="23" t="n">
        <f aca="false">$B$9+($B$10-$B$9)*(I24-2)/8</f>
        <v>0.0575</v>
      </c>
      <c r="J26" s="23" t="n">
        <f aca="false">$B$9+($B$10-$B$9)*(J24-2)/8</f>
        <v>0.04375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302.08</v>
      </c>
      <c r="C27" s="14" t="n">
        <f aca="false">B27*(1+C26)</f>
        <v>344.3712</v>
      </c>
      <c r="D27" s="14" t="n">
        <f aca="false">C27*(1+D26)</f>
        <v>387.848064</v>
      </c>
      <c r="E27" s="14" t="n">
        <f aca="false">D27*(1+E26)</f>
        <v>431.4809712</v>
      </c>
      <c r="F27" s="14" t="n">
        <f aca="false">E27*(1+F26)</f>
        <v>474.089717106</v>
      </c>
      <c r="G27" s="14" t="n">
        <f aca="false">F27*(1+G26)</f>
        <v>514.38734306001</v>
      </c>
      <c r="H27" s="14" t="n">
        <f aca="false">G27*(1+H26)</f>
        <v>551.037441253036</v>
      </c>
      <c r="I27" s="14" t="n">
        <f aca="false">H27*(1+I26)</f>
        <v>582.722094125085</v>
      </c>
      <c r="J27" s="14" t="n">
        <f aca="false">I27*(1+J26)</f>
        <v>608.216185743058</v>
      </c>
      <c r="K27" s="14" t="n">
        <f aca="false">J27*(1+K26)</f>
        <v>626.46267131535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0.348</v>
      </c>
      <c r="C28" s="23" t="n">
        <f aca="false">$B$11+($B$12-$B$11)*MIN(1,C24/$B$13)</f>
        <v>0.356</v>
      </c>
      <c r="D28" s="23" t="n">
        <f aca="false">$B$11+($B$12-$B$11)*MIN(1,D24/$B$13)</f>
        <v>0.364</v>
      </c>
      <c r="E28" s="23" t="n">
        <f aca="false">$B$11+($B$12-$B$11)*MIN(1,E24/$B$13)</f>
        <v>0.372</v>
      </c>
      <c r="F28" s="23" t="n">
        <f aca="false">$B$11+($B$12-$B$11)*MIN(1,F24/$B$13)</f>
        <v>0.38</v>
      </c>
      <c r="G28" s="23" t="n">
        <f aca="false">$B$11+($B$12-$B$11)*MIN(1,G24/$B$13)</f>
        <v>0.38</v>
      </c>
      <c r="H28" s="23" t="n">
        <f aca="false">$B$11+($B$12-$B$11)*MIN(1,H24/$B$13)</f>
        <v>0.38</v>
      </c>
      <c r="I28" s="23" t="n">
        <f aca="false">$B$11+($B$12-$B$11)*MIN(1,I24/$B$13)</f>
        <v>0.38</v>
      </c>
      <c r="J28" s="23" t="n">
        <f aca="false">$B$11+($B$12-$B$11)*MIN(1,J24/$B$13)</f>
        <v>0.38</v>
      </c>
      <c r="K28" s="23" t="n">
        <f aca="false">$B$11+($B$12-$B$11)*MIN(1,K24/$B$13)</f>
        <v>0.38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105.12384</v>
      </c>
      <c r="C29" s="14" t="n">
        <f aca="false">C27*C28</f>
        <v>122.5961472</v>
      </c>
      <c r="D29" s="14" t="n">
        <f aca="false">D27*D28</f>
        <v>141.176695296</v>
      </c>
      <c r="E29" s="14" t="n">
        <f aca="false">E27*E28</f>
        <v>160.5109212864</v>
      </c>
      <c r="F29" s="14" t="n">
        <f aca="false">F27*F28</f>
        <v>180.15409250028</v>
      </c>
      <c r="G29" s="14" t="n">
        <f aca="false">G27*G28</f>
        <v>195.467190362804</v>
      </c>
      <c r="H29" s="14" t="n">
        <f aca="false">H27*H28</f>
        <v>209.394227676154</v>
      </c>
      <c r="I29" s="14" t="n">
        <f aca="false">I27*I28</f>
        <v>221.434395767532</v>
      </c>
      <c r="J29" s="14" t="n">
        <f aca="false">J27*J28</f>
        <v>231.122150582362</v>
      </c>
      <c r="K29" s="14" t="n">
        <f aca="false">K27*K28</f>
        <v>238.055815099833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88.3040256</v>
      </c>
      <c r="C30" s="14" t="n">
        <f aca="false">C29*(1-$B$14)</f>
        <v>102.980763648</v>
      </c>
      <c r="D30" s="14" t="n">
        <f aca="false">D29*(1-$B$14)</f>
        <v>118.58842404864</v>
      </c>
      <c r="E30" s="14" t="n">
        <f aca="false">E29*(1-$B$14)</f>
        <v>134.829173880576</v>
      </c>
      <c r="F30" s="14" t="n">
        <f aca="false">F29*(1-$B$14)</f>
        <v>151.329437700235</v>
      </c>
      <c r="G30" s="14" t="n">
        <f aca="false">G29*(1-$B$14)</f>
        <v>164.192439904755</v>
      </c>
      <c r="H30" s="14" t="n">
        <f aca="false">H29*(1-$B$14)</f>
        <v>175.891151247969</v>
      </c>
      <c r="I30" s="14" t="n">
        <f aca="false">I29*(1-$B$14)</f>
        <v>186.004892444727</v>
      </c>
      <c r="J30" s="14" t="n">
        <f aca="false">J29*(1-$B$14)</f>
        <v>194.142606489184</v>
      </c>
      <c r="K30" s="14" t="n">
        <f aca="false">K29*(1-$B$14)</f>
        <v>199.96688468386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110</v>
      </c>
      <c r="C31" s="14" t="n">
        <f aca="false">IF(ISNUMBER(C25),C25,(C27-B27)/$B$15)</f>
        <v>90</v>
      </c>
      <c r="D31" s="14" t="n">
        <f aca="false">IF(ISNUMBER(D25),D25,(D27-C27)/$B$15)</f>
        <v>60</v>
      </c>
      <c r="E31" s="14" t="n">
        <f aca="false">IF(ISNUMBER(E25),E25,(E27-D27)/$B$15)</f>
        <v>40</v>
      </c>
      <c r="F31" s="14" t="n">
        <f aca="false">IF(ISNUMBER(F25),F25,(F27-E27)/$B$15)</f>
        <v>21.304372953</v>
      </c>
      <c r="G31" s="14" t="n">
        <f aca="false">IF(ISNUMBER(G25),G25,(G27-F27)/$B$15)</f>
        <v>20.148812977005</v>
      </c>
      <c r="H31" s="14" t="n">
        <f aca="false">IF(ISNUMBER(H25),H25,(H27-G27)/$B$15)</f>
        <v>18.3250490965129</v>
      </c>
      <c r="I31" s="14" t="n">
        <f aca="false">IF(ISNUMBER(I25),I25,(I27-H27)/$B$15)</f>
        <v>15.8423264360248</v>
      </c>
      <c r="J31" s="14" t="n">
        <f aca="false">IF(ISNUMBER(J25),J25,(J27-I27)/$B$15)</f>
        <v>12.7470458089862</v>
      </c>
      <c r="K31" s="14" t="n">
        <f aca="false">IF(ISNUMBER(K25),K25,(K27-J27)/$B$15)</f>
        <v>9.12324278614585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-21.6959744</v>
      </c>
      <c r="C32" s="31" t="n">
        <f aca="false">C30-C31</f>
        <v>12.980763648</v>
      </c>
      <c r="D32" s="31" t="n">
        <f aca="false">D30-D31</f>
        <v>58.58842404864</v>
      </c>
      <c r="E32" s="31" t="n">
        <f aca="false">E30-E31</f>
        <v>94.829173880576</v>
      </c>
      <c r="F32" s="31" t="n">
        <f aca="false">F30-F31</f>
        <v>130.025064747235</v>
      </c>
      <c r="G32" s="31" t="n">
        <f aca="false">G30-G31</f>
        <v>144.04362692775</v>
      </c>
      <c r="H32" s="31" t="n">
        <f aca="false">H30-H31</f>
        <v>157.566102151456</v>
      </c>
      <c r="I32" s="31" t="n">
        <f aca="false">I30-I31</f>
        <v>170.162566008702</v>
      </c>
      <c r="J32" s="31" t="n">
        <f aca="false">J30-J31</f>
        <v>181.395560680198</v>
      </c>
      <c r="K32" s="31" t="n">
        <f aca="false">K30-K31</f>
        <v>190.843641897714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0.948250555092936</v>
      </c>
      <c r="C33" s="32" t="n">
        <f aca="false">1/(1+$B$18)^(C24-0.5)</f>
        <v>0.852647095148674</v>
      </c>
      <c r="D33" s="32" t="n">
        <f aca="false">1/(1+$B$18)^(D24-0.5)</f>
        <v>0.766682460622678</v>
      </c>
      <c r="E33" s="32" t="n">
        <f aca="false">1/(1+$B$18)^(E24-0.5)</f>
        <v>0.689384856608173</v>
      </c>
      <c r="F33" s="32" t="n">
        <f aca="false">1/(1+$B$18)^(F24-0.5)</f>
        <v>0.619880465420698</v>
      </c>
      <c r="G33" s="32" t="n">
        <f aca="false">1/(1+$B$18)^(G24-0.5)</f>
        <v>0.557383568447861</v>
      </c>
      <c r="H33" s="32" t="n">
        <f aca="false">1/(1+$B$18)^(H24-0.5)</f>
        <v>0.501187663922952</v>
      </c>
      <c r="I33" s="32" t="n">
        <f aca="false">1/(1+$B$18)^(I24-0.5)</f>
        <v>0.450657480212466</v>
      </c>
      <c r="J33" s="32" t="n">
        <f aca="false">1/(1+$B$18)^(J24-0.5)</f>
        <v>0.405221794331057</v>
      </c>
      <c r="K33" s="32" t="n">
        <f aca="false">1/(1+$B$18)^(K24-0.5)</f>
        <v>0.364366974500159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-20.5732197680821</v>
      </c>
      <c r="C34" s="14" t="n">
        <f aca="false">C32*C33</f>
        <v>11.0680104172787</v>
      </c>
      <c r="D34" s="14" t="n">
        <f aca="false">D32*D33</f>
        <v>44.9187171136162</v>
      </c>
      <c r="E34" s="14" t="n">
        <f aca="false">E32*E33</f>
        <v>65.3737964379324</v>
      </c>
      <c r="F34" s="14" t="n">
        <f aca="false">F32*F33</f>
        <v>80.5999976518725</v>
      </c>
      <c r="G34" s="14" t="n">
        <f aca="false">G32*G33</f>
        <v>80.2875507891618</v>
      </c>
      <c r="H34" s="14" t="n">
        <f aca="false">H32*H33</f>
        <v>78.9701866507335</v>
      </c>
      <c r="I34" s="14" t="n">
        <f aca="false">I32*I33</f>
        <v>76.6850332239693</v>
      </c>
      <c r="J34" s="14" t="n">
        <f aca="false">J32*J33</f>
        <v>73.5054345825179</v>
      </c>
      <c r="K34" s="14" t="n">
        <f aca="false">K32*K33</f>
        <v>69.5371204008617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560.372627499862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205.965891224375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2206.98858481744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804.153753406316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1364.52638090618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1366.02638090618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530.90803766272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256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</v>
      </c>
    </row>
    <row r="9" customFormat="false" ht="15" hidden="false" customHeight="false" outlineLevel="0" collapsed="false">
      <c r="A9" s="7" t="s">
        <v>45</v>
      </c>
      <c r="B9" s="16" t="n">
        <v>0.08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0.3</v>
      </c>
    </row>
    <row r="12" customFormat="false" ht="15" hidden="false" customHeight="false" outlineLevel="0" collapsed="false">
      <c r="A12" s="7" t="s">
        <v>49</v>
      </c>
      <c r="B12" s="16" t="n">
        <v>0.3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0.122125474288506</v>
      </c>
    </row>
    <row r="19" customFormat="false" ht="15" hidden="false" customHeight="false" outlineLevel="0" collapsed="false">
      <c r="A19" s="7" t="s">
        <v>58</v>
      </c>
      <c r="B19" s="15" t="n">
        <v>1.5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2.573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130</v>
      </c>
      <c r="C25" s="15" t="n">
        <v>110</v>
      </c>
      <c r="D25" s="15" t="n">
        <v>80</v>
      </c>
      <c r="E25" s="15" t="n">
        <v>60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0.1</v>
      </c>
      <c r="C26" s="23" t="n">
        <f aca="false">$B$9</f>
        <v>0.08</v>
      </c>
      <c r="D26" s="23" t="n">
        <f aca="false">$B$9+($B$10-$B$9)*(D24-2)/8</f>
        <v>0.07375</v>
      </c>
      <c r="E26" s="23" t="n">
        <f aca="false">$B$9+($B$10-$B$9)*(E24-2)/8</f>
        <v>0.0675</v>
      </c>
      <c r="F26" s="23" t="n">
        <f aca="false">$B$9+($B$10-$B$9)*(F24-2)/8</f>
        <v>0.06125</v>
      </c>
      <c r="G26" s="23" t="n">
        <f aca="false">$B$9+($B$10-$B$9)*(G24-2)/8</f>
        <v>0.055</v>
      </c>
      <c r="H26" s="23" t="n">
        <f aca="false">$B$9+($B$10-$B$9)*(H24-2)/8</f>
        <v>0.04875</v>
      </c>
      <c r="I26" s="23" t="n">
        <f aca="false">$B$9+($B$10-$B$9)*(I24-2)/8</f>
        <v>0.0425</v>
      </c>
      <c r="J26" s="23" t="n">
        <f aca="false">$B$9+($B$10-$B$9)*(J24-2)/8</f>
        <v>0.03625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281.6</v>
      </c>
      <c r="C27" s="14" t="n">
        <f aca="false">B27*(1+C26)</f>
        <v>304.128</v>
      </c>
      <c r="D27" s="14" t="n">
        <f aca="false">C27*(1+D26)</f>
        <v>326.55744</v>
      </c>
      <c r="E27" s="14" t="n">
        <f aca="false">D27*(1+E26)</f>
        <v>348.6000672</v>
      </c>
      <c r="F27" s="14" t="n">
        <f aca="false">E27*(1+F26)</f>
        <v>369.951821316</v>
      </c>
      <c r="G27" s="14" t="n">
        <f aca="false">F27*(1+G26)</f>
        <v>390.29917148838</v>
      </c>
      <c r="H27" s="14" t="n">
        <f aca="false">G27*(1+H26)</f>
        <v>409.326256098439</v>
      </c>
      <c r="I27" s="14" t="n">
        <f aca="false">H27*(1+I26)</f>
        <v>426.722621982622</v>
      </c>
      <c r="J27" s="14" t="n">
        <f aca="false">I27*(1+J26)</f>
        <v>442.191317029492</v>
      </c>
      <c r="K27" s="14" t="n">
        <f aca="false">J27*(1+K26)</f>
        <v>455.457056540377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0.3</v>
      </c>
      <c r="C28" s="23" t="n">
        <f aca="false">$B$11+($B$12-$B$11)*MIN(1,C24/$B$13)</f>
        <v>0.3</v>
      </c>
      <c r="D28" s="23" t="n">
        <f aca="false">$B$11+($B$12-$B$11)*MIN(1,D24/$B$13)</f>
        <v>0.3</v>
      </c>
      <c r="E28" s="23" t="n">
        <f aca="false">$B$11+($B$12-$B$11)*MIN(1,E24/$B$13)</f>
        <v>0.3</v>
      </c>
      <c r="F28" s="23" t="n">
        <f aca="false">$B$11+($B$12-$B$11)*MIN(1,F24/$B$13)</f>
        <v>0.3</v>
      </c>
      <c r="G28" s="23" t="n">
        <f aca="false">$B$11+($B$12-$B$11)*MIN(1,G24/$B$13)</f>
        <v>0.3</v>
      </c>
      <c r="H28" s="23" t="n">
        <f aca="false">$B$11+($B$12-$B$11)*MIN(1,H24/$B$13)</f>
        <v>0.3</v>
      </c>
      <c r="I28" s="23" t="n">
        <f aca="false">$B$11+($B$12-$B$11)*MIN(1,I24/$B$13)</f>
        <v>0.3</v>
      </c>
      <c r="J28" s="23" t="n">
        <f aca="false">$B$11+($B$12-$B$11)*MIN(1,J24/$B$13)</f>
        <v>0.3</v>
      </c>
      <c r="K28" s="23" t="n">
        <f aca="false">$B$11+($B$12-$B$11)*MIN(1,K24/$B$13)</f>
        <v>0.3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84.48</v>
      </c>
      <c r="C29" s="14" t="n">
        <f aca="false">C27*C28</f>
        <v>91.2384</v>
      </c>
      <c r="D29" s="14" t="n">
        <f aca="false">D27*D28</f>
        <v>97.967232</v>
      </c>
      <c r="E29" s="14" t="n">
        <f aca="false">E27*E28</f>
        <v>104.58002016</v>
      </c>
      <c r="F29" s="14" t="n">
        <f aca="false">F27*F28</f>
        <v>110.9855463948</v>
      </c>
      <c r="G29" s="14" t="n">
        <f aca="false">G27*G28</f>
        <v>117.089751446514</v>
      </c>
      <c r="H29" s="14" t="n">
        <f aca="false">H27*H28</f>
        <v>122.797876829532</v>
      </c>
      <c r="I29" s="14" t="n">
        <f aca="false">I27*I28</f>
        <v>128.016786594787</v>
      </c>
      <c r="J29" s="14" t="n">
        <f aca="false">J27*J28</f>
        <v>132.657395108848</v>
      </c>
      <c r="K29" s="14" t="n">
        <f aca="false">K27*K28</f>
        <v>136.637116962113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70.9632</v>
      </c>
      <c r="C30" s="14" t="n">
        <f aca="false">C29*(1-$B$14)</f>
        <v>76.640256</v>
      </c>
      <c r="D30" s="14" t="n">
        <f aca="false">D29*(1-$B$14)</f>
        <v>82.29247488</v>
      </c>
      <c r="E30" s="14" t="n">
        <f aca="false">E29*(1-$B$14)</f>
        <v>87.8472169344</v>
      </c>
      <c r="F30" s="14" t="n">
        <f aca="false">F29*(1-$B$14)</f>
        <v>93.227858971632</v>
      </c>
      <c r="G30" s="14" t="n">
        <f aca="false">G29*(1-$B$14)</f>
        <v>98.3553912150718</v>
      </c>
      <c r="H30" s="14" t="n">
        <f aca="false">H29*(1-$B$14)</f>
        <v>103.150216536807</v>
      </c>
      <c r="I30" s="14" t="n">
        <f aca="false">I29*(1-$B$14)</f>
        <v>107.534100739621</v>
      </c>
      <c r="J30" s="14" t="n">
        <f aca="false">J29*(1-$B$14)</f>
        <v>111.432211891432</v>
      </c>
      <c r="K30" s="14" t="n">
        <f aca="false">K29*(1-$B$14)</f>
        <v>114.775178248175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130</v>
      </c>
      <c r="C31" s="14" t="n">
        <f aca="false">IF(ISNUMBER(C25),C25,(C27-B27)/$B$15)</f>
        <v>110</v>
      </c>
      <c r="D31" s="14" t="n">
        <f aca="false">IF(ISNUMBER(D25),D25,(D27-C27)/$B$15)</f>
        <v>80</v>
      </c>
      <c r="E31" s="14" t="n">
        <f aca="false">IF(ISNUMBER(E25),E25,(E27-D27)/$B$15)</f>
        <v>60</v>
      </c>
      <c r="F31" s="14" t="n">
        <f aca="false">IF(ISNUMBER(F25),F25,(F27-E27)/$B$15)</f>
        <v>10.675877058</v>
      </c>
      <c r="G31" s="14" t="n">
        <f aca="false">IF(ISNUMBER(G25),G25,(G27-F27)/$B$15)</f>
        <v>10.17367508619</v>
      </c>
      <c r="H31" s="14" t="n">
        <f aca="false">IF(ISNUMBER(H25),H25,(H27-G27)/$B$15)</f>
        <v>9.51354230502929</v>
      </c>
      <c r="I31" s="14" t="n">
        <f aca="false">IF(ISNUMBER(I25),I25,(I27-H27)/$B$15)</f>
        <v>8.69818294209182</v>
      </c>
      <c r="J31" s="14" t="n">
        <f aca="false">IF(ISNUMBER(J25),J25,(J27-I27)/$B$15)</f>
        <v>7.73434752343499</v>
      </c>
      <c r="K31" s="14" t="n">
        <f aca="false">IF(ISNUMBER(K25),K25,(K27-J27)/$B$15)</f>
        <v>6.63286975544239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-59.0368</v>
      </c>
      <c r="C32" s="31" t="n">
        <f aca="false">C30-C31</f>
        <v>-33.359744</v>
      </c>
      <c r="D32" s="31" t="n">
        <f aca="false">D30-D31</f>
        <v>2.29247488</v>
      </c>
      <c r="E32" s="31" t="n">
        <f aca="false">E30-E31</f>
        <v>27.8472169344</v>
      </c>
      <c r="F32" s="31" t="n">
        <f aca="false">F30-F31</f>
        <v>82.551981913632</v>
      </c>
      <c r="G32" s="31" t="n">
        <f aca="false">G30-G31</f>
        <v>88.1817161288818</v>
      </c>
      <c r="H32" s="31" t="n">
        <f aca="false">H30-H31</f>
        <v>93.6366742317772</v>
      </c>
      <c r="I32" s="31" t="n">
        <f aca="false">I30-I31</f>
        <v>98.835917797529</v>
      </c>
      <c r="J32" s="31" t="n">
        <f aca="false">J30-J31</f>
        <v>103.697864367997</v>
      </c>
      <c r="K32" s="31" t="n">
        <f aca="false">K30-K31</f>
        <v>108.142308492733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0.94401585645808</v>
      </c>
      <c r="C33" s="32" t="n">
        <f aca="false">1/(1+$B$18)^(C24-0.5)</f>
        <v>0.841274775493927</v>
      </c>
      <c r="D33" s="32" t="n">
        <f aca="false">1/(1+$B$18)^(D24-0.5)</f>
        <v>0.749715423783018</v>
      </c>
      <c r="E33" s="32" t="n">
        <f aca="false">1/(1+$B$18)^(E24-0.5)</f>
        <v>0.668120848302087</v>
      </c>
      <c r="F33" s="32" t="n">
        <f aca="false">1/(1+$B$18)^(F24-0.5)</f>
        <v>0.595406541969574</v>
      </c>
      <c r="G33" s="32" t="n">
        <f aca="false">1/(1+$B$18)^(G24-0.5)</f>
        <v>0.530606029015692</v>
      </c>
      <c r="H33" s="32" t="n">
        <f aca="false">1/(1+$B$18)^(H24-0.5)</f>
        <v>0.472858019155235</v>
      </c>
      <c r="I33" s="32" t="n">
        <f aca="false">1/(1+$B$18)^(I24-0.5)</f>
        <v>0.421394959823949</v>
      </c>
      <c r="J33" s="32" t="n">
        <f aca="false">1/(1+$B$18)^(J24-0.5)</f>
        <v>0.375532834321526</v>
      </c>
      <c r="K33" s="32" t="n">
        <f aca="false">1/(1+$B$18)^(K24-0.5)</f>
        <v>0.334662070264144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-55.7316753145444</v>
      </c>
      <c r="C34" s="14" t="n">
        <f aca="false">C32*C33</f>
        <v>-28.0647111441349</v>
      </c>
      <c r="D34" s="14" t="n">
        <f aca="false">D32*D33</f>
        <v>1.71870377617112</v>
      </c>
      <c r="E34" s="14" t="n">
        <f aca="false">E32*E33</f>
        <v>18.6053062010636</v>
      </c>
      <c r="F34" s="14" t="n">
        <f aca="false">F32*F33</f>
        <v>49.1519900839304</v>
      </c>
      <c r="G34" s="14" t="n">
        <f aca="false">G32*G33</f>
        <v>46.7897502269349</v>
      </c>
      <c r="H34" s="14" t="n">
        <f aca="false">H32*H33</f>
        <v>44.2768522975222</v>
      </c>
      <c r="I34" s="14" t="n">
        <f aca="false">I32*I33</f>
        <v>41.6489576094529</v>
      </c>
      <c r="J34" s="14" t="n">
        <f aca="false">J32*J33</f>
        <v>38.9419529192031</v>
      </c>
      <c r="K34" s="14" t="n">
        <f aca="false">K32*K33</f>
        <v>36.1911288433216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193.528255498921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118.21843359562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1129.24489526482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377.915434484542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571.443689983462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572.943689983462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222.675355609585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256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0.24</v>
      </c>
    </row>
    <row r="9" customFormat="false" ht="15" hidden="false" customHeight="false" outlineLevel="0" collapsed="false">
      <c r="A9" s="7" t="s">
        <v>45</v>
      </c>
      <c r="B9" s="16" t="n">
        <v>0.18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0.36</v>
      </c>
    </row>
    <row r="12" customFormat="false" ht="15" hidden="false" customHeight="false" outlineLevel="0" collapsed="false">
      <c r="A12" s="7" t="s">
        <v>49</v>
      </c>
      <c r="B12" s="16" t="n">
        <v>0.44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2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0.102125474288506</v>
      </c>
    </row>
    <row r="19" customFormat="false" ht="15" hidden="false" customHeight="false" outlineLevel="0" collapsed="false">
      <c r="A19" s="7" t="s">
        <v>58</v>
      </c>
      <c r="B19" s="15" t="n">
        <v>1.5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2.573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B25" s="15" t="n">
        <v>90</v>
      </c>
      <c r="C25" s="15" t="n">
        <v>70</v>
      </c>
      <c r="D25" s="15" t="n">
        <v>40</v>
      </c>
      <c r="E25" s="15" t="n">
        <v>25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0.24</v>
      </c>
      <c r="C26" s="23" t="n">
        <f aca="false">$B$9</f>
        <v>0.18</v>
      </c>
      <c r="D26" s="23" t="n">
        <f aca="false">$B$9+($B$10-$B$9)*(D24-2)/8</f>
        <v>0.16125</v>
      </c>
      <c r="E26" s="23" t="n">
        <f aca="false">$B$9+($B$10-$B$9)*(E24-2)/8</f>
        <v>0.1425</v>
      </c>
      <c r="F26" s="23" t="n">
        <f aca="false">$B$9+($B$10-$B$9)*(F24-2)/8</f>
        <v>0.12375</v>
      </c>
      <c r="G26" s="23" t="n">
        <f aca="false">$B$9+($B$10-$B$9)*(G24-2)/8</f>
        <v>0.105</v>
      </c>
      <c r="H26" s="23" t="n">
        <f aca="false">$B$9+($B$10-$B$9)*(H24-2)/8</f>
        <v>0.08625</v>
      </c>
      <c r="I26" s="23" t="n">
        <f aca="false">$B$9+($B$10-$B$9)*(I24-2)/8</f>
        <v>0.0675</v>
      </c>
      <c r="J26" s="23" t="n">
        <f aca="false">$B$9+($B$10-$B$9)*(J24-2)/8</f>
        <v>0.04875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317.44</v>
      </c>
      <c r="C27" s="14" t="n">
        <f aca="false">B27*(1+C26)</f>
        <v>374.5792</v>
      </c>
      <c r="D27" s="14" t="n">
        <f aca="false">C27*(1+D26)</f>
        <v>434.980096</v>
      </c>
      <c r="E27" s="14" t="n">
        <f aca="false">D27*(1+E26)</f>
        <v>496.96475968</v>
      </c>
      <c r="F27" s="14" t="n">
        <f aca="false">E27*(1+F26)</f>
        <v>558.4641486904</v>
      </c>
      <c r="G27" s="14" t="n">
        <f aca="false">F27*(1+G26)</f>
        <v>617.102884302892</v>
      </c>
      <c r="H27" s="14" t="n">
        <f aca="false">G27*(1+H26)</f>
        <v>670.328008074016</v>
      </c>
      <c r="I27" s="14" t="n">
        <f aca="false">H27*(1+I26)</f>
        <v>715.575148619012</v>
      </c>
      <c r="J27" s="14" t="n">
        <f aca="false">I27*(1+J26)</f>
        <v>750.459437114189</v>
      </c>
      <c r="K27" s="14" t="n">
        <f aca="false">J27*(1+K26)</f>
        <v>772.973220227615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0.376</v>
      </c>
      <c r="C28" s="23" t="n">
        <f aca="false">$B$11+($B$12-$B$11)*MIN(1,C24/$B$13)</f>
        <v>0.392</v>
      </c>
      <c r="D28" s="23" t="n">
        <f aca="false">$B$11+($B$12-$B$11)*MIN(1,D24/$B$13)</f>
        <v>0.408</v>
      </c>
      <c r="E28" s="23" t="n">
        <f aca="false">$B$11+($B$12-$B$11)*MIN(1,E24/$B$13)</f>
        <v>0.424</v>
      </c>
      <c r="F28" s="23" t="n">
        <f aca="false">$B$11+($B$12-$B$11)*MIN(1,F24/$B$13)</f>
        <v>0.44</v>
      </c>
      <c r="G28" s="23" t="n">
        <f aca="false">$B$11+($B$12-$B$11)*MIN(1,G24/$B$13)</f>
        <v>0.44</v>
      </c>
      <c r="H28" s="23" t="n">
        <f aca="false">$B$11+($B$12-$B$11)*MIN(1,H24/$B$13)</f>
        <v>0.44</v>
      </c>
      <c r="I28" s="23" t="n">
        <f aca="false">$B$11+($B$12-$B$11)*MIN(1,I24/$B$13)</f>
        <v>0.44</v>
      </c>
      <c r="J28" s="23" t="n">
        <f aca="false">$B$11+($B$12-$B$11)*MIN(1,J24/$B$13)</f>
        <v>0.44</v>
      </c>
      <c r="K28" s="23" t="n">
        <f aca="false">$B$11+($B$12-$B$11)*MIN(1,K24/$B$13)</f>
        <v>0.44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119.35744</v>
      </c>
      <c r="C29" s="14" t="n">
        <f aca="false">C27*C28</f>
        <v>146.8350464</v>
      </c>
      <c r="D29" s="14" t="n">
        <f aca="false">D27*D28</f>
        <v>177.471879168</v>
      </c>
      <c r="E29" s="14" t="n">
        <f aca="false">E27*E28</f>
        <v>210.71305810432</v>
      </c>
      <c r="F29" s="14" t="n">
        <f aca="false">F27*F28</f>
        <v>245.724225423776</v>
      </c>
      <c r="G29" s="14" t="n">
        <f aca="false">G27*G28</f>
        <v>271.525269093272</v>
      </c>
      <c r="H29" s="14" t="n">
        <f aca="false">H27*H28</f>
        <v>294.944323552567</v>
      </c>
      <c r="I29" s="14" t="n">
        <f aca="false">I27*I28</f>
        <v>314.853065392365</v>
      </c>
      <c r="J29" s="14" t="n">
        <f aca="false">J27*J28</f>
        <v>330.202152330243</v>
      </c>
      <c r="K29" s="14" t="n">
        <f aca="false">K27*K28</f>
        <v>340.108216900151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100.2602496</v>
      </c>
      <c r="C30" s="14" t="n">
        <f aca="false">C29*(1-$B$14)</f>
        <v>123.341438976</v>
      </c>
      <c r="D30" s="14" t="n">
        <f aca="false">D29*(1-$B$14)</f>
        <v>149.07637850112</v>
      </c>
      <c r="E30" s="14" t="n">
        <f aca="false">E29*(1-$B$14)</f>
        <v>176.998968807629</v>
      </c>
      <c r="F30" s="14" t="n">
        <f aca="false">F29*(1-$B$14)</f>
        <v>206.408349355972</v>
      </c>
      <c r="G30" s="14" t="n">
        <f aca="false">G29*(1-$B$14)</f>
        <v>228.081226038349</v>
      </c>
      <c r="H30" s="14" t="n">
        <f aca="false">H29*(1-$B$14)</f>
        <v>247.753231784156</v>
      </c>
      <c r="I30" s="14" t="n">
        <f aca="false">I29*(1-$B$14)</f>
        <v>264.476574929587</v>
      </c>
      <c r="J30" s="14" t="n">
        <f aca="false">J29*(1-$B$14)</f>
        <v>277.369807957404</v>
      </c>
      <c r="K30" s="14" t="n">
        <f aca="false">K29*(1-$B$14)</f>
        <v>285.690902196127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90</v>
      </c>
      <c r="C31" s="14" t="n">
        <f aca="false">IF(ISNUMBER(C25),C25,(C27-B27)/$B$15)</f>
        <v>70</v>
      </c>
      <c r="D31" s="14" t="n">
        <f aca="false">IF(ISNUMBER(D25),D25,(D27-C27)/$B$15)</f>
        <v>40</v>
      </c>
      <c r="E31" s="14" t="n">
        <f aca="false">IF(ISNUMBER(E25),E25,(E27-D27)/$B$15)</f>
        <v>25</v>
      </c>
      <c r="F31" s="14" t="n">
        <f aca="false">IF(ISNUMBER(F25),F25,(F27-E27)/$B$15)</f>
        <v>30.7496945052</v>
      </c>
      <c r="G31" s="14" t="n">
        <f aca="false">IF(ISNUMBER(G25),G25,(G27-F27)/$B$15)</f>
        <v>29.319367806246</v>
      </c>
      <c r="H31" s="14" t="n">
        <f aca="false">IF(ISNUMBER(H25),H25,(H27-G27)/$B$15)</f>
        <v>26.6125618855622</v>
      </c>
      <c r="I31" s="14" t="n">
        <f aca="false">IF(ISNUMBER(I25),I25,(I27-H27)/$B$15)</f>
        <v>22.623570272498</v>
      </c>
      <c r="J31" s="14" t="n">
        <f aca="false">IF(ISNUMBER(J25),J25,(J27-I27)/$B$15)</f>
        <v>17.4421442475884</v>
      </c>
      <c r="K31" s="14" t="n">
        <f aca="false">IF(ISNUMBER(K25),K25,(K27-J27)/$B$15)</f>
        <v>11.2568915567128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10.2602496</v>
      </c>
      <c r="C32" s="31" t="n">
        <f aca="false">C30-C31</f>
        <v>53.341438976</v>
      </c>
      <c r="D32" s="31" t="n">
        <f aca="false">D30-D31</f>
        <v>109.07637850112</v>
      </c>
      <c r="E32" s="31" t="n">
        <f aca="false">E30-E31</f>
        <v>151.998968807629</v>
      </c>
      <c r="F32" s="31" t="n">
        <f aca="false">F30-F31</f>
        <v>175.658654850772</v>
      </c>
      <c r="G32" s="31" t="n">
        <f aca="false">G30-G31</f>
        <v>198.761858232103</v>
      </c>
      <c r="H32" s="31" t="n">
        <f aca="false">H30-H31</f>
        <v>221.140669898594</v>
      </c>
      <c r="I32" s="31" t="n">
        <f aca="false">I30-I31</f>
        <v>241.853004657089</v>
      </c>
      <c r="J32" s="31" t="n">
        <f aca="false">J30-J31</f>
        <v>259.927663709816</v>
      </c>
      <c r="K32" s="31" t="n">
        <f aca="false">K30-K31</f>
        <v>274.434010639414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0.952542758302537</v>
      </c>
      <c r="C33" s="32" t="n">
        <f aca="false">1/(1+$B$18)^(C24-0.5)</f>
        <v>0.864277961561016</v>
      </c>
      <c r="D33" s="32" t="n">
        <f aca="false">1/(1+$B$18)^(D24-0.5)</f>
        <v>0.784191983330177</v>
      </c>
      <c r="E33" s="32" t="n">
        <f aca="false">1/(1+$B$18)^(E24-0.5)</f>
        <v>0.71152695552784</v>
      </c>
      <c r="F33" s="32" t="n">
        <f aca="false">1/(1+$B$18)^(F24-0.5)</f>
        <v>0.645595235866567</v>
      </c>
      <c r="G33" s="32" t="n">
        <f aca="false">1/(1+$B$18)^(G24-0.5)</f>
        <v>0.585772900570455</v>
      </c>
      <c r="H33" s="32" t="n">
        <f aca="false">1/(1+$B$18)^(H24-0.5)</f>
        <v>0.531493840071713</v>
      </c>
      <c r="I33" s="32" t="n">
        <f aca="false">1/(1+$B$18)^(I24-0.5)</f>
        <v>0.482244401813529</v>
      </c>
      <c r="J33" s="32" t="n">
        <f aca="false">1/(1+$B$18)^(J24-0.5)</f>
        <v>0.437558529463126</v>
      </c>
      <c r="K33" s="32" t="n">
        <f aca="false">1/(1+$B$18)^(K24-0.5)</f>
        <v>0.397013352536469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9.7733264548565</v>
      </c>
      <c r="C34" s="14" t="n">
        <f aca="false">C32*C33</f>
        <v>46.1018301449086</v>
      </c>
      <c r="D34" s="14" t="n">
        <f aca="false">D32*D33</f>
        <v>85.5368215912663</v>
      </c>
      <c r="E34" s="14" t="n">
        <f aca="false">E32*E33</f>
        <v>108.151363519063</v>
      </c>
      <c r="F34" s="14" t="n">
        <f aca="false">F32*F33</f>
        <v>113.404390710388</v>
      </c>
      <c r="G34" s="14" t="n">
        <f aca="false">G32*G33</f>
        <v>116.429310219393</v>
      </c>
      <c r="H34" s="14" t="n">
        <f aca="false">H32*H33</f>
        <v>117.534903840435</v>
      </c>
      <c r="I34" s="14" t="n">
        <f aca="false">I32*I33</f>
        <v>116.632257557663</v>
      </c>
      <c r="J34" s="14" t="n">
        <f aca="false">J32*J33</f>
        <v>113.733566299653</v>
      </c>
      <c r="K34" s="14" t="n">
        <f aca="false">K32*K33</f>
        <v>108.953966613983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936.251736951608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294.26162926201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3590.27425892208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1425.38682006004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2361.63855701165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2363.13855701165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918.437060634143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2026-10-22T14:43:36Z</dcterms:created>
  <dc:creator>LDB Finance</dc:creator>
  <dc:description/>
  <dc:language>en-US</dc:language>
  <cp:lastModifiedBy/>
  <dcterms:modified xsi:type="dcterms:W3CDTF">2026-10-22T14:43:37Z</dcterms:modified>
  <cp:revision>0</cp:revision>
  <dc:subject/>
  <dc:title>Meta Platforms (META)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