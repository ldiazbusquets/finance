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<sst xmlns="http://schemas.openxmlformats.org/spreadsheetml/2006/main" count="59" uniqueCount="49">
  <si>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</si>
  <si>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Micron Technology (MU)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</si>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</sst>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356.096143218354</v>
      </c>
      <c r="C8" s="10" t="n">
        <f aca="false">Model!C37</f>
        <v>622.207625036309</v>
      </c>
      <c r="D8" s="10" t="n">
        <f aca="false">Model!D37</f>
        <v>1266.27373535076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716.696282160433</v>
      </c>
    </row>
    <row r="11" customFormat="false" ht="15" hidden="false" customHeight="false" outlineLevel="0" collapsed="false">
      <c r="A11" s="9" t="s">
        <v>10</v>
      </c>
      <c r="C11" s="14" t="n">
        <v>913.67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-0.215585187036421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(Model!$C$8*Model!$C$12/(1+B16)^1+Model!$C$9*Model!$C$13/(1+B16)^2+Model!$C$10*Model!$C$14/(1+B16)^3+Model!$C$11*Model!$C$15/(1+B16)^4+Model!$C$34/(1+B16)^4+Model!$C$21)/Model!$C$22</f>
        <v>652.864817216311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(Model!$C$8*Model!$C$12/(1+B17)^1+Model!$C$9*Model!$C$13/(1+B17)^2+Model!$C$10*Model!$C$14/(1+B17)^3+Model!$C$11*Model!$C$15/(1+B17)^4+Model!$C$34/(1+B17)^4+Model!$C$21)/Model!$C$22</f>
        <v>637.230176587102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(Model!$C$8*Model!$C$12/(1+B18)^1+Model!$C$9*Model!$C$13/(1+B18)^2+Model!$C$10*Model!$C$14/(1+B18)^3+Model!$C$11*Model!$C$15/(1+B18)^4+Model!$C$34/(1+B18)^4+Model!$C$21)/Model!$C$22</f>
        <v>622.207625036309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(Model!$C$8*Model!$C$12/(1+B19)^1+Model!$C$9*Model!$C$13/(1+B19)^2+Model!$C$10*Model!$C$14/(1+B19)^3+Model!$C$11*Model!$C$15/(1+B19)^4+Model!$C$34/(1+B19)^4+Model!$C$21)/Model!$C$22</f>
        <v>607.767171358021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(Model!$C$8*Model!$C$12/(1+B20)^1+Model!$C$9*Model!$C$13/(1+B20)^2+Model!$C$10*Model!$C$14/(1+B20)^3+Model!$C$11*Model!$C$15/(1+B20)^4+Model!$C$34/(1+B20)^4+Model!$C$21)/Model!$C$22</f>
        <v>593.880559751808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220</v>
      </c>
      <c r="C8" s="20" t="n">
        <v>250</v>
      </c>
      <c r="D8" s="20" t="n">
        <v>290</v>
      </c>
    </row>
    <row r="9" customFormat="false" ht="15" hidden="false" customHeight="false" outlineLevel="0" collapsed="false">
      <c r="A9" s="9" t="s">
        <v>24</v>
      </c>
      <c r="B9" s="20" t="n">
        <v>200</v>
      </c>
      <c r="C9" s="20" t="n">
        <v>280</v>
      </c>
      <c r="D9" s="20" t="n">
        <v>350</v>
      </c>
    </row>
    <row r="10" customFormat="false" ht="15" hidden="false" customHeight="false" outlineLevel="0" collapsed="false">
      <c r="A10" s="9" t="s">
        <v>25</v>
      </c>
      <c r="B10" s="20" t="n">
        <v>130</v>
      </c>
      <c r="C10" s="20" t="n">
        <v>200</v>
      </c>
      <c r="D10" s="20" t="n">
        <v>330</v>
      </c>
    </row>
    <row r="11" customFormat="false" ht="15" hidden="false" customHeight="false" outlineLevel="0" collapsed="false">
      <c r="A11" s="9" t="s">
        <v>26</v>
      </c>
      <c r="B11" s="20" t="n">
        <v>110</v>
      </c>
      <c r="C11" s="20" t="n">
        <v>150</v>
      </c>
      <c r="D11" s="20" t="n">
        <v>300</v>
      </c>
    </row>
    <row r="12" customFormat="false" ht="15" hidden="false" customHeight="false" outlineLevel="0" collapsed="false">
      <c r="A12" s="9" t="s">
        <v>27</v>
      </c>
      <c r="B12" s="11" t="n">
        <v>0.5</v>
      </c>
      <c r="C12" s="11" t="n">
        <v>0.55</v>
      </c>
      <c r="D12" s="11" t="n">
        <v>0.58</v>
      </c>
    </row>
    <row r="13" customFormat="false" ht="15" hidden="false" customHeight="false" outlineLevel="0" collapsed="false">
      <c r="A13" s="9" t="s">
        <v>28</v>
      </c>
      <c r="B13" s="11" t="n">
        <v>0.38</v>
      </c>
      <c r="C13" s="11" t="n">
        <v>0.5</v>
      </c>
      <c r="D13" s="11" t="n">
        <v>0.58</v>
      </c>
    </row>
    <row r="14" customFormat="false" ht="15" hidden="false" customHeight="false" outlineLevel="0" collapsed="false">
      <c r="A14" s="9" t="s">
        <v>29</v>
      </c>
      <c r="B14" s="11" t="n">
        <v>0.15</v>
      </c>
      <c r="C14" s="11" t="n">
        <v>0.3</v>
      </c>
      <c r="D14" s="11" t="n">
        <v>0.52</v>
      </c>
    </row>
    <row r="15" customFormat="false" ht="15" hidden="false" customHeight="false" outlineLevel="0" collapsed="false">
      <c r="A15" s="9" t="s">
        <v>30</v>
      </c>
      <c r="B15" s="11" t="n">
        <v>0.05</v>
      </c>
      <c r="C15" s="11" t="n">
        <v>0.15</v>
      </c>
      <c r="D15" s="11" t="n">
        <v>0.45</v>
      </c>
    </row>
    <row r="16" customFormat="false" ht="15" hidden="false" customHeight="false" outlineLevel="0" collapsed="false">
      <c r="A16" s="9" t="s">
        <v>31</v>
      </c>
      <c r="B16" s="20" t="n">
        <v>130</v>
      </c>
      <c r="C16" s="20" t="n">
        <v>170</v>
      </c>
      <c r="D16" s="20" t="n">
        <v>280</v>
      </c>
    </row>
    <row r="17" customFormat="false" ht="15" hidden="false" customHeight="false" outlineLevel="0" collapsed="false">
      <c r="A17" s="9" t="s">
        <v>32</v>
      </c>
      <c r="B17" s="11" t="n">
        <v>0.25</v>
      </c>
      <c r="C17" s="11" t="n">
        <v>0.35</v>
      </c>
      <c r="D17" s="11" t="n">
        <v>0.45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10</v>
      </c>
      <c r="C19" s="21" t="n">
        <v>12</v>
      </c>
      <c r="D19" s="21" t="n">
        <v>14</v>
      </c>
    </row>
    <row r="20" customFormat="false" ht="15" hidden="false" customHeight="false" outlineLevel="0" collapsed="false">
      <c r="A20" s="9" t="s">
        <v>14</v>
      </c>
      <c r="B20" s="11" t="n">
        <v>0.14</v>
      </c>
      <c r="C20" s="11" t="n">
        <v>0.14</v>
      </c>
      <c r="D20" s="11" t="n">
        <v>0.14</v>
      </c>
    </row>
    <row r="21" customFormat="false" ht="15" hidden="false" customHeight="false" outlineLevel="0" collapsed="false">
      <c r="A21" s="9" t="s">
        <v>35</v>
      </c>
      <c r="B21" s="20" t="n">
        <v>68.3</v>
      </c>
      <c r="C21" s="20" t="n">
        <v>68.3</v>
      </c>
      <c r="D21" s="20" t="n">
        <v>68.3</v>
      </c>
    </row>
    <row r="22" customFormat="false" ht="15" hidden="false" customHeight="false" outlineLevel="0" collapsed="false">
      <c r="A22" s="9" t="s">
        <v>36</v>
      </c>
      <c r="B22" s="22" t="n">
        <v>1.1</v>
      </c>
      <c r="C22" s="22" t="n">
        <v>1.1</v>
      </c>
      <c r="D22" s="22" t="n">
        <v>1.1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110</v>
      </c>
      <c r="C26" s="23" t="n">
        <f aca="false">C8*C12</f>
        <v>137.5</v>
      </c>
      <c r="D26" s="23" t="n">
        <f aca="false">D8*D12</f>
        <v>168.2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96.4912280701754</v>
      </c>
      <c r="C27" s="23" t="n">
        <f aca="false">C26/(1+C20)^1</f>
        <v>120.614035087719</v>
      </c>
      <c r="D27" s="23" t="n">
        <f aca="false">D26/(1+D20)^1</f>
        <v>147.543859649123</v>
      </c>
    </row>
    <row r="28" customFormat="false" ht="15" hidden="false" customHeight="false" outlineLevel="0" collapsed="false">
      <c r="A28" s="9" t="s">
        <v>40</v>
      </c>
      <c r="B28" s="23" t="n">
        <f aca="false">B9*B13</f>
        <v>76</v>
      </c>
      <c r="C28" s="23" t="n">
        <f aca="false">C9*C13</f>
        <v>140</v>
      </c>
      <c r="D28" s="23" t="n">
        <f aca="false">D9*D13</f>
        <v>203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58.4795321637427</v>
      </c>
      <c r="C29" s="23" t="n">
        <f aca="false">C28/(1+C20)^2</f>
        <v>107.725453985842</v>
      </c>
      <c r="D29" s="23" t="n">
        <f aca="false">D28/(1+D20)^2</f>
        <v>156.201908279471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19.5</v>
      </c>
      <c r="C30" s="23" t="n">
        <f aca="false">C10*C14</f>
        <v>60</v>
      </c>
      <c r="D30" s="23" t="n">
        <f aca="false">D10*D14</f>
        <v>171.6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13.1619445659393</v>
      </c>
      <c r="C31" s="23" t="n">
        <f aca="false">C30/(1+C20)^3</f>
        <v>40.498290972121</v>
      </c>
      <c r="D31" s="23" t="n">
        <f aca="false">D30/(1+D20)^3</f>
        <v>115.825112180266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5.5</v>
      </c>
      <c r="C32" s="23" t="n">
        <f aca="false">C11*C15</f>
        <v>22.5</v>
      </c>
      <c r="D32" s="23" t="n">
        <f aca="false">D11*D15</f>
        <v>135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3.25644152553604</v>
      </c>
      <c r="C33" s="23" t="n">
        <f aca="false">C32/(1+C20)^4</f>
        <v>13.3218062408293</v>
      </c>
      <c r="D33" s="23" t="n">
        <f aca="false">D32/(1+D20)^4</f>
        <v>79.9308374449756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256.75</v>
      </c>
      <c r="C34" s="23" t="n">
        <f aca="false">C16*C17*(1-C18)*C19</f>
        <v>564.06</v>
      </c>
      <c r="D34" s="23" t="n">
        <f aca="false">D16*D17*(1-D18)*D19</f>
        <v>1393.56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152.016611214796</v>
      </c>
      <c r="C35" s="23" t="n">
        <f aca="false">C34/(1+C20)^4</f>
        <v>333.968801253429</v>
      </c>
      <c r="D35" s="23" t="n">
        <f aca="false">D34/(1+D20)^4</f>
        <v>825.099391332001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391.70575754019</v>
      </c>
      <c r="C36" s="23" t="n">
        <f aca="false">C27+C29+C31+C33+C35+C21</f>
        <v>684.42838753994</v>
      </c>
      <c r="D36" s="23" t="n">
        <f aca="false">D27+D29+D31+D33+D35+D21</f>
        <v>1392.90110888584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356.096143218354</v>
      </c>
      <c r="C37" s="13" t="n">
        <f aca="false">C36/C22</f>
        <v>622.207625036309</v>
      </c>
      <c r="D37" s="13" t="n">
        <f aca="false">D36/D22</f>
        <v>1266.27373535076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Micron Technology (MU)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