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<sst xmlns="http://schemas.openxmlformats.org/spreadsheetml/2006/main" count="214" uniqueCount="93">
  <si>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</si>
  <si>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Northrop Grumman (NOC)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</si>
  <si>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</si>
  <si>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</si>
  <si>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</si>
  <si>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</si>
  <si>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</si>
  <si>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</si>
  <si>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</si>
  <si>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</si>
  <si>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</si>
  <si>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</si>
  <si>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</si>
  <si>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</si>
  <si>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</si>
  <si>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</si>
  <si>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</si>
  <si>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</si>
  <si>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</si>
  <si>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</si>
  <si>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</si>
  <si>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</si>
  <si>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</si>
  <si>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</si>
  <si>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</si>
  <si>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</si>
  <si>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</si>
  <si>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</si>
  <si>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</si>
  <si>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</si>
  <si>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</si>
  <si>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</si>
  <si>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</si>
  <si>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</si>
  <si>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</si>
  <si>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</si>
  <si>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</si>
  <si>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</si>
  <si>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https://github.com/ldiazbusquets/finance/blob/main/_source/models/noc.py,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</si>
  <si>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</si>
  <si>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</si>
  <si>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</si>
  <si>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</si>
  <si>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$44.0B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</si>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</sst>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553.29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0.143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79.12047</v>
      </c>
    </row>
    <row r="14" customFormat="false" ht="15" hidden="false" customHeight="false" outlineLevel="0" collapsed="false">
      <c r="A14" s="7" t="s">
        <v>16</v>
      </c>
      <c r="B14" s="15" t="n">
        <v>15.2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0.0797646695886905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329.10934976155</v>
      </c>
      <c r="C21" s="21" t="n">
        <f aca="false">Base!$B$43</f>
        <v>564.011255997936</v>
      </c>
      <c r="D21" s="21" t="n">
        <f aca="false">Bull!$B$43</f>
        <v>869.87181889566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581.75092016327</v>
      </c>
    </row>
    <row r="24" customFormat="false" ht="15" hidden="false" customHeight="false" outlineLevel="0" collapsed="false">
      <c r="A24" s="7" t="s">
        <v>29</v>
      </c>
      <c r="C24" s="12" t="n">
        <v>553.29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0.0514394262742326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(SUMPRODUCT(Base!$B$32:$K$32,1/(1+B29)^(Base!$B$24:$K$24-0.5))+Base!$K$29*(1+Base!$B$10)*(1-Base!$B$14)*(1-Base!$B$10/Base!$B$16)/(B29-Base!$B$10)/(1+B29)^9.5+Base!$B$19)/Base!$B$20</f>
        <v>720.022042141594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(SUMPRODUCT(Base!$B$32:$K$32,1/(1+B30)^(Base!$B$24:$K$24-0.5))+Base!$K$29*(1+Base!$B$10)*(1-Base!$B$14)*(1-Base!$B$10/Base!$B$16)/(B30-Base!$B$10)/(1+B30)^9.5+Base!$B$19)/Base!$B$20</f>
        <v>631.695991802829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(SUMPRODUCT(Base!$B$32:$K$32,1/(1+B31)^(Base!$B$24:$K$24-0.5))+Base!$K$29*(1+Base!$B$10)*(1-Base!$B$14)*(1-Base!$B$10/Base!$B$16)/(B31-Base!$B$10)/(1+B31)^9.5+Base!$B$19)/Base!$B$20</f>
        <v>561.001821544193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(SUMPRODUCT(Base!$B$32:$K$32,1/(1+B32)^(Base!$B$24:$K$24-0.5))+Base!$K$29*(1+Base!$B$10)*(1-Base!$B$14)*(1-Base!$B$10/Base!$B$16)/(B32-Base!$B$10)/(1+B32)^9.5+Base!$B$19)/Base!$B$20</f>
        <v>503.133592158153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(SUMPRODUCT(Base!$B$32:$K$32,1/(1+B33)^(Base!$B$24:$K$24-0.5))+Base!$K$29*(1+Base!$B$10)*(1-Base!$B$14)*(1-Base!$B$10/Base!$B$16)/(B33-Base!$B$10)/(1+B33)^9.5+Base!$B$19)/Base!$B$20</f>
        <v>454.887166611786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0.113</v>
      </c>
    </row>
    <row r="12" customFormat="false" ht="15" hidden="false" customHeight="false" outlineLevel="0" collapsed="false">
      <c r="A12" s="7" t="s">
        <v>49</v>
      </c>
      <c r="B12" s="16" t="n">
        <v>0.12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0.0797646695886905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0.06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46.64</v>
      </c>
      <c r="C27" s="14" t="n">
        <f aca="false">B27*(1+C26)</f>
        <v>49.9048</v>
      </c>
      <c r="D27" s="14" t="n">
        <f aca="false">C27*(1+D26)</f>
        <v>53.148612</v>
      </c>
      <c r="E27" s="14" t="n">
        <f aca="false">D27*(1+E26)</f>
        <v>56.33752872</v>
      </c>
      <c r="F27" s="14" t="n">
        <f aca="false">E27*(1+F26)</f>
        <v>59.4360927996</v>
      </c>
      <c r="G27" s="14" t="n">
        <f aca="false">F27*(1+G26)</f>
        <v>62.40789743958</v>
      </c>
      <c r="H27" s="14" t="n">
        <f aca="false">G27*(1+H26)</f>
        <v>65.2162528243611</v>
      </c>
      <c r="I27" s="14" t="n">
        <f aca="false">H27*(1+I26)</f>
        <v>67.8249029373355</v>
      </c>
      <c r="J27" s="14" t="n">
        <f aca="false">I27*(1+J26)</f>
        <v>70.1987745401423</v>
      </c>
      <c r="K27" s="14" t="n">
        <f aca="false">J27*(1+K26)</f>
        <v>72.3047377763466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0.1144</v>
      </c>
      <c r="C28" s="23" t="n">
        <f aca="false">$B$11+($B$12-$B$11)*MIN(1,C24/$B$13)</f>
        <v>0.1158</v>
      </c>
      <c r="D28" s="23" t="n">
        <f aca="false">$B$11+($B$12-$B$11)*MIN(1,D24/$B$13)</f>
        <v>0.1172</v>
      </c>
      <c r="E28" s="23" t="n">
        <f aca="false">$B$11+($B$12-$B$11)*MIN(1,E24/$B$13)</f>
        <v>0.1186</v>
      </c>
      <c r="F28" s="23" t="n">
        <f aca="false">$B$11+($B$12-$B$11)*MIN(1,F24/$B$13)</f>
        <v>0.12</v>
      </c>
      <c r="G28" s="23" t="n">
        <f aca="false">$B$11+($B$12-$B$11)*MIN(1,G24/$B$13)</f>
        <v>0.12</v>
      </c>
      <c r="H28" s="23" t="n">
        <f aca="false">$B$11+($B$12-$B$11)*MIN(1,H24/$B$13)</f>
        <v>0.12</v>
      </c>
      <c r="I28" s="23" t="n">
        <f aca="false">$B$11+($B$12-$B$11)*MIN(1,I24/$B$13)</f>
        <v>0.12</v>
      </c>
      <c r="J28" s="23" t="n">
        <f aca="false">$B$11+($B$12-$B$11)*MIN(1,J24/$B$13)</f>
        <v>0.12</v>
      </c>
      <c r="K28" s="23" t="n">
        <f aca="false">$B$11+($B$12-$B$11)*MIN(1,K24/$B$13)</f>
        <v>0.12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5.335616</v>
      </c>
      <c r="C29" s="14" t="n">
        <f aca="false">C27*C28</f>
        <v>5.77897584</v>
      </c>
      <c r="D29" s="14" t="n">
        <f aca="false">D27*D28</f>
        <v>6.2290173264</v>
      </c>
      <c r="E29" s="14" t="n">
        <f aca="false">E27*E28</f>
        <v>6.681630906192</v>
      </c>
      <c r="F29" s="14" t="n">
        <f aca="false">F27*F28</f>
        <v>7.132331135952</v>
      </c>
      <c r="G29" s="14" t="n">
        <f aca="false">G27*G28</f>
        <v>7.4889476927496</v>
      </c>
      <c r="H29" s="14" t="n">
        <f aca="false">H27*H28</f>
        <v>7.82595033892333</v>
      </c>
      <c r="I29" s="14" t="n">
        <f aca="false">I27*I28</f>
        <v>8.13898835248027</v>
      </c>
      <c r="J29" s="14" t="n">
        <f aca="false">J27*J28</f>
        <v>8.42385294481707</v>
      </c>
      <c r="K29" s="14" t="n">
        <f aca="false">K27*K28</f>
        <v>8.67656853316159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4.48191744</v>
      </c>
      <c r="C30" s="14" t="n">
        <f aca="false">C29*(1-$B$14)</f>
        <v>4.8543397056</v>
      </c>
      <c r="D30" s="14" t="n">
        <f aca="false">D29*(1-$B$14)</f>
        <v>5.232374554176</v>
      </c>
      <c r="E30" s="14" t="n">
        <f aca="false">E29*(1-$B$14)</f>
        <v>5.61256996120128</v>
      </c>
      <c r="F30" s="14" t="n">
        <f aca="false">F29*(1-$B$14)</f>
        <v>5.99115815419968</v>
      </c>
      <c r="G30" s="14" t="n">
        <f aca="false">G29*(1-$B$14)</f>
        <v>6.29071606190966</v>
      </c>
      <c r="H30" s="14" t="n">
        <f aca="false">H29*(1-$B$14)</f>
        <v>6.5737982846956</v>
      </c>
      <c r="I30" s="14" t="n">
        <f aca="false">I29*(1-$B$14)</f>
        <v>6.83675021608342</v>
      </c>
      <c r="J30" s="14" t="n">
        <f aca="false">J29*(1-$B$14)</f>
        <v>7.07603647364634</v>
      </c>
      <c r="K30" s="14" t="n">
        <f aca="false">K29*(1-$B$14)</f>
        <v>7.28831756785573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0.88</v>
      </c>
      <c r="C31" s="14" t="n">
        <f aca="false">IF(ISNUMBER(C25),C25,(C27-B27)/$B$15)</f>
        <v>1.08826666666667</v>
      </c>
      <c r="D31" s="14" t="n">
        <f aca="false">IF(ISNUMBER(D25),D25,(D27-C27)/$B$15)</f>
        <v>1.08127066666667</v>
      </c>
      <c r="E31" s="14" t="n">
        <f aca="false">IF(ISNUMBER(E25),E25,(E27-D27)/$B$15)</f>
        <v>1.06297224</v>
      </c>
      <c r="F31" s="14" t="n">
        <f aca="false">IF(ISNUMBER(F25),F25,(F27-E27)/$B$15)</f>
        <v>1.0328546932</v>
      </c>
      <c r="G31" s="14" t="n">
        <f aca="false">IF(ISNUMBER(G25),G25,(G27-F27)/$B$15)</f>
        <v>0.99060154666</v>
      </c>
      <c r="H31" s="14" t="n">
        <f aca="false">IF(ISNUMBER(H25),H25,(H27-G27)/$B$15)</f>
        <v>0.936118461593698</v>
      </c>
      <c r="I31" s="14" t="n">
        <f aca="false">IF(ISNUMBER(I25),I25,(I27-H27)/$B$15)</f>
        <v>0.869550037658148</v>
      </c>
      <c r="J31" s="14" t="n">
        <f aca="false">IF(ISNUMBER(J25),J25,(J27-I27)/$B$15)</f>
        <v>0.791290534268915</v>
      </c>
      <c r="K31" s="14" t="n">
        <f aca="false">IF(ISNUMBER(K25),K25,(K27-J27)/$B$15)</f>
        <v>0.701987745401425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3.60191744</v>
      </c>
      <c r="C32" s="31" t="n">
        <f aca="false">C30-C31</f>
        <v>3.76607303893333</v>
      </c>
      <c r="D32" s="31" t="n">
        <f aca="false">D30-D31</f>
        <v>4.15110388750933</v>
      </c>
      <c r="E32" s="31" t="n">
        <f aca="false">E30-E31</f>
        <v>4.54959772120128</v>
      </c>
      <c r="F32" s="31" t="n">
        <f aca="false">F30-F31</f>
        <v>4.95830346099968</v>
      </c>
      <c r="G32" s="31" t="n">
        <f aca="false">G30-G31</f>
        <v>5.30011451524966</v>
      </c>
      <c r="H32" s="31" t="n">
        <f aca="false">H30-H31</f>
        <v>5.6376798231019</v>
      </c>
      <c r="I32" s="31" t="n">
        <f aca="false">I30-I31</f>
        <v>5.96720017842528</v>
      </c>
      <c r="J32" s="31" t="n">
        <f aca="false">J30-J31</f>
        <v>6.28474593937743</v>
      </c>
      <c r="K32" s="31" t="n">
        <f aca="false">K30-K31</f>
        <v>6.58632982245431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0.962355302263914</v>
      </c>
      <c r="C33" s="32" t="n">
        <f aca="false">1/(1+$B$18)^(C24-0.5)</f>
        <v>0.891263929417601</v>
      </c>
      <c r="D33" s="32" t="n">
        <f aca="false">1/(1+$B$18)^(D24-0.5)</f>
        <v>0.825424237817585</v>
      </c>
      <c r="E33" s="32" t="n">
        <f aca="false">1/(1+$B$18)^(E24-0.5)</f>
        <v>0.764448273837307</v>
      </c>
      <c r="F33" s="32" t="n">
        <f aca="false">1/(1+$B$18)^(F24-0.5)</f>
        <v>0.707976742866115</v>
      </c>
      <c r="G33" s="32" t="n">
        <f aca="false">1/(1+$B$18)^(G24-0.5)</f>
        <v>0.655676892202632</v>
      </c>
      <c r="H33" s="32" t="n">
        <f aca="false">1/(1+$B$18)^(H24-0.5)</f>
        <v>0.607240550343619</v>
      </c>
      <c r="I33" s="32" t="n">
        <f aca="false">1/(1+$B$18)^(I24-0.5)</f>
        <v>0.562382311115006</v>
      </c>
      <c r="J33" s="32" t="n">
        <f aca="false">1/(1+$B$18)^(J24-0.5)</f>
        <v>0.520837851945306</v>
      </c>
      <c r="K33" s="32" t="n">
        <f aca="false">1/(1+$B$18)^(K24-0.5)</f>
        <v>0.482362376371979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3.46632434670086</v>
      </c>
      <c r="C34" s="14" t="n">
        <f aca="false">C32*C33</f>
        <v>3.35656505515341</v>
      </c>
      <c r="D34" s="14" t="n">
        <f aca="false">D32*D33</f>
        <v>3.42642176244901</v>
      </c>
      <c r="E34" s="14" t="n">
        <f aca="false">E32*E33</f>
        <v>3.47793212462647</v>
      </c>
      <c r="F34" s="14" t="n">
        <f aca="false">F32*F33</f>
        <v>3.51036353446034</v>
      </c>
      <c r="G34" s="14" t="n">
        <f aca="false">G32*G33</f>
        <v>3.47516261367696</v>
      </c>
      <c r="H34" s="14" t="n">
        <f aca="false">H32*H33</f>
        <v>3.42342779844151</v>
      </c>
      <c r="I34" s="14" t="n">
        <f aca="false">I32*I33</f>
        <v>3.35584782722868</v>
      </c>
      <c r="J34" s="14" t="n">
        <f aca="false">J32*J33</f>
        <v>3.27333357508732</v>
      </c>
      <c r="K34" s="14" t="n">
        <f aca="false">K32*K33</f>
        <v>3.1769977047287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33.9423763425533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7.5069670948914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120.679464478509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58.2112332651515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92.1536096077048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80.6536096077048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564.011255997936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0.03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0.105</v>
      </c>
    </row>
    <row r="12" customFormat="false" ht="15" hidden="false" customHeight="false" outlineLevel="0" collapsed="false">
      <c r="A12" s="7" t="s">
        <v>49</v>
      </c>
      <c r="B12" s="16" t="n">
        <v>0.105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0.0897646695886905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0.03</v>
      </c>
      <c r="C26" s="23" t="n">
        <f aca="false">$B$9</f>
        <v>0.03</v>
      </c>
      <c r="D26" s="23" t="n">
        <f aca="false">$B$9+($B$10-$B$9)*(D24-2)/8</f>
        <v>0.03</v>
      </c>
      <c r="E26" s="23" t="n">
        <f aca="false">$B$9+($B$10-$B$9)*(E24-2)/8</f>
        <v>0.03</v>
      </c>
      <c r="F26" s="23" t="n">
        <f aca="false">$B$9+($B$10-$B$9)*(F24-2)/8</f>
        <v>0.03</v>
      </c>
      <c r="G26" s="23" t="n">
        <f aca="false">$B$9+($B$10-$B$9)*(G24-2)/8</f>
        <v>0.03</v>
      </c>
      <c r="H26" s="23" t="n">
        <f aca="false">$B$9+($B$10-$B$9)*(H24-2)/8</f>
        <v>0.03</v>
      </c>
      <c r="I26" s="23" t="n">
        <f aca="false">$B$9+($B$10-$B$9)*(I24-2)/8</f>
        <v>0.03</v>
      </c>
      <c r="J26" s="23" t="n">
        <f aca="false">$B$9+($B$10-$B$9)*(J24-2)/8</f>
        <v>0.03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45.32</v>
      </c>
      <c r="C27" s="14" t="n">
        <f aca="false">B27*(1+C26)</f>
        <v>46.6796</v>
      </c>
      <c r="D27" s="14" t="n">
        <f aca="false">C27*(1+D26)</f>
        <v>48.079988</v>
      </c>
      <c r="E27" s="14" t="n">
        <f aca="false">D27*(1+E26)</f>
        <v>49.52238764</v>
      </c>
      <c r="F27" s="14" t="n">
        <f aca="false">E27*(1+F26)</f>
        <v>51.0080592692</v>
      </c>
      <c r="G27" s="14" t="n">
        <f aca="false">F27*(1+G26)</f>
        <v>52.538301047276</v>
      </c>
      <c r="H27" s="14" t="n">
        <f aca="false">G27*(1+H26)</f>
        <v>54.1144500786943</v>
      </c>
      <c r="I27" s="14" t="n">
        <f aca="false">H27*(1+I26)</f>
        <v>55.7378835810551</v>
      </c>
      <c r="J27" s="14" t="n">
        <f aca="false">I27*(1+J26)</f>
        <v>57.4100200884868</v>
      </c>
      <c r="K27" s="14" t="n">
        <f aca="false">J27*(1+K26)</f>
        <v>59.1323206911414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0.105</v>
      </c>
      <c r="C28" s="23" t="n">
        <f aca="false">$B$11+($B$12-$B$11)*MIN(1,C24/$B$13)</f>
        <v>0.105</v>
      </c>
      <c r="D28" s="23" t="n">
        <f aca="false">$B$11+($B$12-$B$11)*MIN(1,D24/$B$13)</f>
        <v>0.105</v>
      </c>
      <c r="E28" s="23" t="n">
        <f aca="false">$B$11+($B$12-$B$11)*MIN(1,E24/$B$13)</f>
        <v>0.105</v>
      </c>
      <c r="F28" s="23" t="n">
        <f aca="false">$B$11+($B$12-$B$11)*MIN(1,F24/$B$13)</f>
        <v>0.105</v>
      </c>
      <c r="G28" s="23" t="n">
        <f aca="false">$B$11+($B$12-$B$11)*MIN(1,G24/$B$13)</f>
        <v>0.105</v>
      </c>
      <c r="H28" s="23" t="n">
        <f aca="false">$B$11+($B$12-$B$11)*MIN(1,H24/$B$13)</f>
        <v>0.105</v>
      </c>
      <c r="I28" s="23" t="n">
        <f aca="false">$B$11+($B$12-$B$11)*MIN(1,I24/$B$13)</f>
        <v>0.105</v>
      </c>
      <c r="J28" s="23" t="n">
        <f aca="false">$B$11+($B$12-$B$11)*MIN(1,J24/$B$13)</f>
        <v>0.105</v>
      </c>
      <c r="K28" s="23" t="n">
        <f aca="false">$B$11+($B$12-$B$11)*MIN(1,K24/$B$13)</f>
        <v>0.105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4.7586</v>
      </c>
      <c r="C29" s="14" t="n">
        <f aca="false">C27*C28</f>
        <v>4.901358</v>
      </c>
      <c r="D29" s="14" t="n">
        <f aca="false">D27*D28</f>
        <v>5.04839874</v>
      </c>
      <c r="E29" s="14" t="n">
        <f aca="false">E27*E28</f>
        <v>5.1998507022</v>
      </c>
      <c r="F29" s="14" t="n">
        <f aca="false">F27*F28</f>
        <v>5.355846223266</v>
      </c>
      <c r="G29" s="14" t="n">
        <f aca="false">G27*G28</f>
        <v>5.51652160996398</v>
      </c>
      <c r="H29" s="14" t="n">
        <f aca="false">H27*H28</f>
        <v>5.6820172582629</v>
      </c>
      <c r="I29" s="14" t="n">
        <f aca="false">I27*I28</f>
        <v>5.85247777601079</v>
      </c>
      <c r="J29" s="14" t="n">
        <f aca="false">J27*J28</f>
        <v>6.02805210929111</v>
      </c>
      <c r="K29" s="14" t="n">
        <f aca="false">K27*K28</f>
        <v>6.20889367256984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3.997224</v>
      </c>
      <c r="C30" s="14" t="n">
        <f aca="false">C29*(1-$B$14)</f>
        <v>4.11714072</v>
      </c>
      <c r="D30" s="14" t="n">
        <f aca="false">D29*(1-$B$14)</f>
        <v>4.2406549416</v>
      </c>
      <c r="E30" s="14" t="n">
        <f aca="false">E29*(1-$B$14)</f>
        <v>4.367874589848</v>
      </c>
      <c r="F30" s="14" t="n">
        <f aca="false">F29*(1-$B$14)</f>
        <v>4.49891082754344</v>
      </c>
      <c r="G30" s="14" t="n">
        <f aca="false">G29*(1-$B$14)</f>
        <v>4.63387815236974</v>
      </c>
      <c r="H30" s="14" t="n">
        <f aca="false">H29*(1-$B$14)</f>
        <v>4.77289449694084</v>
      </c>
      <c r="I30" s="14" t="n">
        <f aca="false">I29*(1-$B$14)</f>
        <v>4.91608133184906</v>
      </c>
      <c r="J30" s="14" t="n">
        <f aca="false">J29*(1-$B$14)</f>
        <v>5.06356377180453</v>
      </c>
      <c r="K30" s="14" t="n">
        <f aca="false">K29*(1-$B$14)</f>
        <v>5.21547068495867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0.44</v>
      </c>
      <c r="C31" s="14" t="n">
        <f aca="false">IF(ISNUMBER(C25),C25,(C27-B27)/$B$15)</f>
        <v>0.4532</v>
      </c>
      <c r="D31" s="14" t="n">
        <f aca="false">IF(ISNUMBER(D25),D25,(D27-C27)/$B$15)</f>
        <v>0.466796</v>
      </c>
      <c r="E31" s="14" t="n">
        <f aca="false">IF(ISNUMBER(E25),E25,(E27-D27)/$B$15)</f>
        <v>0.480799879999999</v>
      </c>
      <c r="F31" s="14" t="n">
        <f aca="false">IF(ISNUMBER(F25),F25,(F27-E27)/$B$15)</f>
        <v>0.4952238764</v>
      </c>
      <c r="G31" s="14" t="n">
        <f aca="false">IF(ISNUMBER(G25),G25,(G27-F27)/$B$15)</f>
        <v>0.510080592692001</v>
      </c>
      <c r="H31" s="14" t="n">
        <f aca="false">IF(ISNUMBER(H25),H25,(H27-G27)/$B$15)</f>
        <v>0.525383010472761</v>
      </c>
      <c r="I31" s="14" t="n">
        <f aca="false">IF(ISNUMBER(I25),I25,(I27-H27)/$B$15)</f>
        <v>0.541144500786944</v>
      </c>
      <c r="J31" s="14" t="n">
        <f aca="false">IF(ISNUMBER(J25),J25,(J27-I27)/$B$15)</f>
        <v>0.557378835810551</v>
      </c>
      <c r="K31" s="14" t="n">
        <f aca="false">IF(ISNUMBER(K25),K25,(K27-J27)/$B$15)</f>
        <v>0.574100200884869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3.557224</v>
      </c>
      <c r="C32" s="31" t="n">
        <f aca="false">C30-C31</f>
        <v>3.66394072</v>
      </c>
      <c r="D32" s="31" t="n">
        <f aca="false">D30-D31</f>
        <v>3.7738589416</v>
      </c>
      <c r="E32" s="31" t="n">
        <f aca="false">E30-E31</f>
        <v>3.887074709848</v>
      </c>
      <c r="F32" s="31" t="n">
        <f aca="false">F30-F31</f>
        <v>4.00368695114344</v>
      </c>
      <c r="G32" s="31" t="n">
        <f aca="false">G30-G31</f>
        <v>4.12379755967774</v>
      </c>
      <c r="H32" s="31" t="n">
        <f aca="false">H30-H31</f>
        <v>4.24751148646807</v>
      </c>
      <c r="I32" s="31" t="n">
        <f aca="false">I30-I31</f>
        <v>4.37493683106212</v>
      </c>
      <c r="J32" s="31" t="n">
        <f aca="false">J30-J31</f>
        <v>4.50618493599398</v>
      </c>
      <c r="K32" s="31" t="n">
        <f aca="false">K30-K31</f>
        <v>4.6413704840738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0.957929699055533</v>
      </c>
      <c r="C33" s="32" t="n">
        <f aca="false">1/(1+$B$18)^(C24-0.5)</f>
        <v>0.879024367175607</v>
      </c>
      <c r="D33" s="32" t="n">
        <f aca="false">1/(1+$B$18)^(D24-0.5)</f>
        <v>0.806618522058874</v>
      </c>
      <c r="E33" s="32" t="n">
        <f aca="false">1/(1+$B$18)^(E24-0.5)</f>
        <v>0.740176796485168</v>
      </c>
      <c r="F33" s="32" t="n">
        <f aca="false">1/(1+$B$18)^(F24-0.5)</f>
        <v>0.679207921802541</v>
      </c>
      <c r="G33" s="32" t="n">
        <f aca="false">1/(1+$B$18)^(G24-0.5)</f>
        <v>0.623261095497705</v>
      </c>
      <c r="H33" s="32" t="n">
        <f aca="false">1/(1+$B$18)^(H24-0.5)</f>
        <v>0.571922647972192</v>
      </c>
      <c r="I33" s="32" t="n">
        <f aca="false">1/(1+$B$18)^(I24-0.5)</f>
        <v>0.524812983878485</v>
      </c>
      <c r="J33" s="32" t="n">
        <f aca="false">1/(1+$B$18)^(J24-0.5)</f>
        <v>0.481583775400395</v>
      </c>
      <c r="K33" s="32" t="n">
        <f aca="false">1/(1+$B$18)^(K24-0.5)</f>
        <v>0.441915386724877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3.40757051579312</v>
      </c>
      <c r="C34" s="14" t="n">
        <f aca="false">C32*C33</f>
        <v>3.22069317276694</v>
      </c>
      <c r="D34" s="14" t="n">
        <f aca="false">D32*D33</f>
        <v>3.04406452193206</v>
      </c>
      <c r="E34" s="14" t="n">
        <f aca="false">E32*E33</f>
        <v>2.87712250643381</v>
      </c>
      <c r="F34" s="14" t="n">
        <f aca="false">F32*F33</f>
        <v>2.71933589363409</v>
      </c>
      <c r="G34" s="14" t="n">
        <f aca="false">G32*G33</f>
        <v>2.57020258465551</v>
      </c>
      <c r="H34" s="14" t="n">
        <f aca="false">H32*H33</f>
        <v>2.42924801663312</v>
      </c>
      <c r="I34" s="14" t="n">
        <f aca="false">I32*I33</f>
        <v>2.29602365258959</v>
      </c>
      <c r="J34" s="14" t="n">
        <f aca="false">J32*J33</f>
        <v>2.17010555412837</v>
      </c>
      <c r="K34" s="14" t="n">
        <f aca="false">K32*K33</f>
        <v>2.05109303240291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26.7854594509695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5.37193480550743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71.9078324030287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31.7771775649321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58.5626370159016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47.0626370159016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329.10934976155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0.118</v>
      </c>
    </row>
    <row r="12" customFormat="false" ht="15" hidden="false" customHeight="false" outlineLevel="0" collapsed="false">
      <c r="A12" s="7" t="s">
        <v>49</v>
      </c>
      <c r="B12" s="16" t="n">
        <v>0.13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0.0697646695886905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0.09</v>
      </c>
      <c r="D26" s="23" t="n">
        <f aca="false">$B$9+($B$10-$B$9)*(D24-2)/8</f>
        <v>0.0825</v>
      </c>
      <c r="E26" s="23" t="n">
        <f aca="false">$B$9+($B$10-$B$9)*(E24-2)/8</f>
        <v>0.075</v>
      </c>
      <c r="F26" s="23" t="n">
        <f aca="false">$B$9+($B$10-$B$9)*(F24-2)/8</f>
        <v>0.0675</v>
      </c>
      <c r="G26" s="23" t="n">
        <f aca="false">$B$9+($B$10-$B$9)*(G24-2)/8</f>
        <v>0.06</v>
      </c>
      <c r="H26" s="23" t="n">
        <f aca="false">$B$9+($B$10-$B$9)*(H24-2)/8</f>
        <v>0.0525</v>
      </c>
      <c r="I26" s="23" t="n">
        <f aca="false">$B$9+($B$10-$B$9)*(I24-2)/8</f>
        <v>0.045</v>
      </c>
      <c r="J26" s="23" t="n">
        <f aca="false">$B$9+($B$10-$B$9)*(J24-2)/8</f>
        <v>0.0375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47.52</v>
      </c>
      <c r="C27" s="14" t="n">
        <f aca="false">B27*(1+C26)</f>
        <v>51.7968</v>
      </c>
      <c r="D27" s="14" t="n">
        <f aca="false">C27*(1+D26)</f>
        <v>56.070036</v>
      </c>
      <c r="E27" s="14" t="n">
        <f aca="false">D27*(1+E26)</f>
        <v>60.2752887</v>
      </c>
      <c r="F27" s="14" t="n">
        <f aca="false">E27*(1+F26)</f>
        <v>64.34387068725</v>
      </c>
      <c r="G27" s="14" t="n">
        <f aca="false">F27*(1+G26)</f>
        <v>68.204502928485</v>
      </c>
      <c r="H27" s="14" t="n">
        <f aca="false">G27*(1+H26)</f>
        <v>71.7852393322305</v>
      </c>
      <c r="I27" s="14" t="n">
        <f aca="false">H27*(1+I26)</f>
        <v>75.0155751021809</v>
      </c>
      <c r="J27" s="14" t="n">
        <f aca="false">I27*(1+J26)</f>
        <v>77.8286591685126</v>
      </c>
      <c r="K27" s="14" t="n">
        <f aca="false">J27*(1+K26)</f>
        <v>80.163518943568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0.1204</v>
      </c>
      <c r="C28" s="23" t="n">
        <f aca="false">$B$11+($B$12-$B$11)*MIN(1,C24/$B$13)</f>
        <v>0.1228</v>
      </c>
      <c r="D28" s="23" t="n">
        <f aca="false">$B$11+($B$12-$B$11)*MIN(1,D24/$B$13)</f>
        <v>0.1252</v>
      </c>
      <c r="E28" s="23" t="n">
        <f aca="false">$B$11+($B$12-$B$11)*MIN(1,E24/$B$13)</f>
        <v>0.1276</v>
      </c>
      <c r="F28" s="23" t="n">
        <f aca="false">$B$11+($B$12-$B$11)*MIN(1,F24/$B$13)</f>
        <v>0.13</v>
      </c>
      <c r="G28" s="23" t="n">
        <f aca="false">$B$11+($B$12-$B$11)*MIN(1,G24/$B$13)</f>
        <v>0.13</v>
      </c>
      <c r="H28" s="23" t="n">
        <f aca="false">$B$11+($B$12-$B$11)*MIN(1,H24/$B$13)</f>
        <v>0.13</v>
      </c>
      <c r="I28" s="23" t="n">
        <f aca="false">$B$11+($B$12-$B$11)*MIN(1,I24/$B$13)</f>
        <v>0.13</v>
      </c>
      <c r="J28" s="23" t="n">
        <f aca="false">$B$11+($B$12-$B$11)*MIN(1,J24/$B$13)</f>
        <v>0.13</v>
      </c>
      <c r="K28" s="23" t="n">
        <f aca="false">$B$11+($B$12-$B$11)*MIN(1,K24/$B$13)</f>
        <v>0.13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5.721408</v>
      </c>
      <c r="C29" s="14" t="n">
        <f aca="false">C27*C28</f>
        <v>6.36064704</v>
      </c>
      <c r="D29" s="14" t="n">
        <f aca="false">D27*D28</f>
        <v>7.0199685072</v>
      </c>
      <c r="E29" s="14" t="n">
        <f aca="false">E27*E28</f>
        <v>7.69112683812</v>
      </c>
      <c r="F29" s="14" t="n">
        <f aca="false">F27*F28</f>
        <v>8.3647031893425</v>
      </c>
      <c r="G29" s="14" t="n">
        <f aca="false">G27*G28</f>
        <v>8.86658538070305</v>
      </c>
      <c r="H29" s="14" t="n">
        <f aca="false">H27*H28</f>
        <v>9.33208111318996</v>
      </c>
      <c r="I29" s="14" t="n">
        <f aca="false">I27*I28</f>
        <v>9.75202476328351</v>
      </c>
      <c r="J29" s="14" t="n">
        <f aca="false">J27*J28</f>
        <v>10.1177256919066</v>
      </c>
      <c r="K29" s="14" t="n">
        <f aca="false">K27*K28</f>
        <v>10.4212574626638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4.80598272</v>
      </c>
      <c r="C30" s="14" t="n">
        <f aca="false">C29*(1-$B$14)</f>
        <v>5.3429435136</v>
      </c>
      <c r="D30" s="14" t="n">
        <f aca="false">D29*(1-$B$14)</f>
        <v>5.896773546048</v>
      </c>
      <c r="E30" s="14" t="n">
        <f aca="false">E29*(1-$B$14)</f>
        <v>6.4605465440208</v>
      </c>
      <c r="F30" s="14" t="n">
        <f aca="false">F29*(1-$B$14)</f>
        <v>7.0263506790477</v>
      </c>
      <c r="G30" s="14" t="n">
        <f aca="false">G29*(1-$B$14)</f>
        <v>7.44793171979056</v>
      </c>
      <c r="H30" s="14" t="n">
        <f aca="false">H29*(1-$B$14)</f>
        <v>7.83894813507957</v>
      </c>
      <c r="I30" s="14" t="n">
        <f aca="false">I29*(1-$B$14)</f>
        <v>8.19170080115815</v>
      </c>
      <c r="J30" s="14" t="n">
        <f aca="false">J29*(1-$B$14)</f>
        <v>8.49888958120158</v>
      </c>
      <c r="K30" s="14" t="n">
        <f aca="false">K29*(1-$B$14)</f>
        <v>8.75385626863763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1.17333333333333</v>
      </c>
      <c r="C31" s="14" t="n">
        <f aca="false">IF(ISNUMBER(C25),C25,(C27-B27)/$B$15)</f>
        <v>1.4256</v>
      </c>
      <c r="D31" s="14" t="n">
        <f aca="false">IF(ISNUMBER(D25),D25,(D27-C27)/$B$15)</f>
        <v>1.424412</v>
      </c>
      <c r="E31" s="14" t="n">
        <f aca="false">IF(ISNUMBER(E25),E25,(E27-D27)/$B$15)</f>
        <v>1.4017509</v>
      </c>
      <c r="F31" s="14" t="n">
        <f aca="false">IF(ISNUMBER(F25),F25,(F27-E27)/$B$15)</f>
        <v>1.35619399575</v>
      </c>
      <c r="G31" s="14" t="n">
        <f aca="false">IF(ISNUMBER(G25),G25,(G27-F27)/$B$15)</f>
        <v>1.286877413745</v>
      </c>
      <c r="H31" s="14" t="n">
        <f aca="false">IF(ISNUMBER(H25),H25,(H27-G27)/$B$15)</f>
        <v>1.19357880124849</v>
      </c>
      <c r="I31" s="14" t="n">
        <f aca="false">IF(ISNUMBER(I25),I25,(I27-H27)/$B$15)</f>
        <v>1.07677858998346</v>
      </c>
      <c r="J31" s="14" t="n">
        <f aca="false">IF(ISNUMBER(J25),J25,(J27-I27)/$B$15)</f>
        <v>0.937694688777261</v>
      </c>
      <c r="K31" s="14" t="n">
        <f aca="false">IF(ISNUMBER(K25),K25,(K27-J27)/$B$15)</f>
        <v>0.778286591685126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3.63264938666667</v>
      </c>
      <c r="C32" s="31" t="n">
        <f aca="false">C30-C31</f>
        <v>3.9173435136</v>
      </c>
      <c r="D32" s="31" t="n">
        <f aca="false">D30-D31</f>
        <v>4.472361546048</v>
      </c>
      <c r="E32" s="31" t="n">
        <f aca="false">E30-E31</f>
        <v>5.0587956440208</v>
      </c>
      <c r="F32" s="31" t="n">
        <f aca="false">F30-F31</f>
        <v>5.6701566832977</v>
      </c>
      <c r="G32" s="31" t="n">
        <f aca="false">G30-G31</f>
        <v>6.16105430604556</v>
      </c>
      <c r="H32" s="31" t="n">
        <f aca="false">H30-H31</f>
        <v>6.64536933383108</v>
      </c>
      <c r="I32" s="31" t="n">
        <f aca="false">I30-I31</f>
        <v>7.11492221117469</v>
      </c>
      <c r="J32" s="31" t="n">
        <f aca="false">J30-J31</f>
        <v>7.56119489242432</v>
      </c>
      <c r="K32" s="31" t="n">
        <f aca="false">K30-K31</f>
        <v>7.9755696769525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0.966842816162154</v>
      </c>
      <c r="C33" s="32" t="n">
        <f aca="false">1/(1+$B$18)^(C24-0.5)</f>
        <v>0.903790192037181</v>
      </c>
      <c r="D33" s="32" t="n">
        <f aca="false">1/(1+$B$18)^(D24-0.5)</f>
        <v>0.844849542829523</v>
      </c>
      <c r="E33" s="32" t="n">
        <f aca="false">1/(1+$B$18)^(E24-0.5)</f>
        <v>0.789752706223095</v>
      </c>
      <c r="F33" s="32" t="n">
        <f aca="false">1/(1+$B$18)^(F24-0.5)</f>
        <v>0.738249008098897</v>
      </c>
      <c r="G33" s="32" t="n">
        <f aca="false">1/(1+$B$18)^(G24-0.5)</f>
        <v>0.690104122042788</v>
      </c>
      <c r="H33" s="32" t="n">
        <f aca="false">1/(1+$B$18)^(H24-0.5)</f>
        <v>0.645099003230424</v>
      </c>
      <c r="I33" s="32" t="n">
        <f aca="false">1/(1+$B$18)^(I24-0.5)</f>
        <v>0.603028891838853</v>
      </c>
      <c r="J33" s="32" t="n">
        <f aca="false">1/(1+$B$18)^(J24-0.5)</f>
        <v>0.563702381450594</v>
      </c>
      <c r="K33" s="32" t="n">
        <f aca="false">1/(1+$B$18)^(K24-0.5)</f>
        <v>0.52694054821172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3.51220096313452</v>
      </c>
      <c r="C34" s="14" t="n">
        <f aca="false">C32*C33</f>
        <v>3.54045664643215</v>
      </c>
      <c r="D34" s="14" t="n">
        <f aca="false">D32*D33</f>
        <v>3.77847260754699</v>
      </c>
      <c r="E34" s="14" t="n">
        <f aca="false">E32*E33</f>
        <v>3.99519755009503</v>
      </c>
      <c r="F34" s="14" t="n">
        <f aca="false">F32*F33</f>
        <v>4.18598754720986</v>
      </c>
      <c r="G34" s="14" t="n">
        <f aca="false">G32*G33</f>
        <v>4.25176897273151</v>
      </c>
      <c r="H34" s="14" t="n">
        <f aca="false">H32*H33</f>
        <v>4.28692113335246</v>
      </c>
      <c r="I34" s="14" t="n">
        <f aca="false">I32*I33</f>
        <v>4.29050365652431</v>
      </c>
      <c r="J34" s="14" t="n">
        <f aca="false">J32*J33</f>
        <v>4.26226356747166</v>
      </c>
      <c r="K34" s="14" t="n">
        <f aca="false">K32*K33</f>
        <v>4.20265105787412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40.3064237023726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9.01647195669676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181.39664279793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95.5852463997067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135.891670102079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124.391670102079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869.87181889566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Northrop Grumman (NOC)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