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<sst xmlns="http://schemas.openxmlformats.org/spreadsheetml/2006/main" count="44" uniqueCount="35">
  <si>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</si>
  <si>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OpenAI (private)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</si>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</sst>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135.505519205549</v>
      </c>
      <c r="C8" s="10" t="n">
        <f aca="false">Model!C21</f>
        <v>790.448862032369</v>
      </c>
      <c r="D8" s="10" t="n">
        <f aca="false">Model!D21</f>
        <v>1778.50993957283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873.728295710779</v>
      </c>
    </row>
    <row r="11" customFormat="false" ht="15" hidden="false" customHeight="false" outlineLevel="0" collapsed="false">
      <c r="A11" s="9" t="s">
        <v>10</v>
      </c>
      <c r="C11" s="14" t="n">
        <v>852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0.0255026944962196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(Model!$C$19/(1+B16)^Model!$C$13+Model!$C$14)</f>
        <v>847.913141016738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(Model!$C$19/(1+B17)^Model!$C$13+Model!$C$14)</f>
        <v>818.550983464287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(Model!$C$19/(1+B18)^Model!$C$13+Model!$C$14)</f>
        <v>790.448862032369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(Model!$C$19/(1+B19)^Model!$C$13+Model!$C$14)</f>
        <v>763.542442819756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(Model!$C$19/(1+B20)^Model!$C$13+Model!$C$14)</f>
        <v>737.771191682343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150</v>
      </c>
      <c r="C8" s="14" t="n">
        <v>280</v>
      </c>
      <c r="D8" s="14" t="n">
        <v>450</v>
      </c>
    </row>
    <row r="9" customFormat="false" ht="15" hidden="false" customHeight="false" outlineLevel="0" collapsed="false">
      <c r="A9" s="9" t="s">
        <v>24</v>
      </c>
      <c r="B9" s="11" t="n">
        <v>0.1</v>
      </c>
      <c r="C9" s="11" t="n">
        <v>0.25</v>
      </c>
      <c r="D9" s="11" t="n">
        <v>0.35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20</v>
      </c>
      <c r="C11" s="20" t="n">
        <v>25</v>
      </c>
      <c r="D11" s="20" t="n">
        <v>25</v>
      </c>
    </row>
    <row r="12" customFormat="false" ht="15" hidden="false" customHeight="false" outlineLevel="0" collapsed="false">
      <c r="A12" s="9" t="s">
        <v>14</v>
      </c>
      <c r="B12" s="11" t="n">
        <v>0.15</v>
      </c>
      <c r="C12" s="11" t="n">
        <v>0.15</v>
      </c>
      <c r="D12" s="11" t="n">
        <v>0.15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11.85</v>
      </c>
      <c r="C18" s="22" t="n">
        <f aca="false">C8*C9*(1-C10)</f>
        <v>55.3</v>
      </c>
      <c r="D18" s="22" t="n">
        <f aca="false">D8*D9*(1-D10)</f>
        <v>124.425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237</v>
      </c>
      <c r="C19" s="22" t="n">
        <f aca="false">C18*C11</f>
        <v>1382.5</v>
      </c>
      <c r="D19" s="22" t="n">
        <f aca="false">D18*D11</f>
        <v>3110.625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135.505519205549</v>
      </c>
      <c r="C20" s="22" t="n">
        <f aca="false">C19/(1+C12)^C13</f>
        <v>790.448862032369</v>
      </c>
      <c r="D20" s="22" t="n">
        <f aca="false">D19/(1+D12)^D13</f>
        <v>1778.50993957283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135.505519205549</v>
      </c>
      <c r="C21" s="13" t="n">
        <f aca="false">C20+C14</f>
        <v>790.448862032369</v>
      </c>
      <c r="D21" s="13" t="n">
        <f aca="false">D20+D14</f>
        <v>1778.50993957283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2026-10-22T14:43:37Z</dcterms:created>
  <dc:creator>LDB Finance</dc:creator>
  <dc:description/>
  <dc:language>en-US</dc:language>
  <cp:lastModifiedBy/>
  <dcterms:modified xsi:type="dcterms:W3CDTF">2026-10-22T14:43:37Z</dcterms:modified>
  <cp:revision>0</cp:revision>
  <dc:subject/>
  <dc:title>OpenAI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