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<sst xmlns="http://schemas.openxmlformats.org/spreadsheetml/2006/main" count="56" uniqueCount="46">
  <si>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</si>
  <si>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Palantir Technologies (PLTR)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</si>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</sst>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40.5424443928952</v>
      </c>
      <c r="C8" s="10" t="n">
        <f aca="false">Model!C31</f>
        <v>86.5325986028814</v>
      </c>
      <c r="D8" s="10" t="n">
        <f aca="false">Model!D31</f>
        <v>215.787483701487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107.348781325036</v>
      </c>
    </row>
    <row r="11" customFormat="false" ht="15" hidden="false" customHeight="false" outlineLevel="0" collapsed="false">
      <c r="A11" s="9" t="s">
        <v>10</v>
      </c>
      <c r="C11" s="14" t="n">
        <v>201.72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-0.467832731880645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(Model!$C$22/(1+B16)^Model!$C$13+Model!$C$25/(1+B16)^1+Model!$C$26/(1+B16)^2+Model!$C$27/(1+B16)^3+Model!$C$28/(1+B16)^4+Model!$C$14)/Model!$C$15</f>
        <v>92.4231934360282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(Model!$C$22/(1+B17)^Model!$C$13+Model!$C$25/(1+B17)^1+Model!$C$26/(1+B17)^2+Model!$C$27/(1+B17)^3+Model!$C$28/(1+B17)^4+Model!$C$14)/Model!$C$15</f>
        <v>89.4134534363443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(Model!$C$22/(1+B18)^Model!$C$13+Model!$C$25/(1+B18)^1+Model!$C$26/(1+B18)^2+Model!$C$27/(1+B18)^3+Model!$C$28/(1+B18)^4+Model!$C$14)/Model!$C$15</f>
        <v>86.5325986028814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(Model!$C$22/(1+B19)^Model!$C$13+Model!$C$25/(1+B19)^1+Model!$C$26/(1+B19)^2+Model!$C$27/(1+B19)^3+Model!$C$28/(1+B19)^4+Model!$C$14)/Model!$C$15</f>
        <v>83.7740286585817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(Model!$C$22/(1+B20)^Model!$C$13+Model!$C$25/(1+B20)^1+Model!$C$26/(1+B20)^2+Model!$C$27/(1+B20)^3+Model!$C$28/(1+B20)^4+Model!$C$14)/Model!$C$15</f>
        <v>81.1315351433056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18</v>
      </c>
      <c r="C8" s="20" t="n">
        <v>28</v>
      </c>
      <c r="D8" s="20" t="n">
        <v>45</v>
      </c>
    </row>
    <row r="9" customFormat="false" ht="15" hidden="false" customHeight="false" outlineLevel="0" collapsed="false">
      <c r="A9" s="9" t="s">
        <v>24</v>
      </c>
      <c r="B9" s="11" t="n">
        <v>0.4</v>
      </c>
      <c r="C9" s="11" t="n">
        <v>0.5</v>
      </c>
      <c r="D9" s="11" t="n">
        <v>0.55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45</v>
      </c>
    </row>
    <row r="12" customFormat="false" ht="15" hidden="false" customHeight="false" outlineLevel="0" collapsed="false">
      <c r="A12" s="9" t="s">
        <v>14</v>
      </c>
      <c r="B12" s="11" t="n">
        <v>0.14</v>
      </c>
      <c r="C12" s="11" t="n">
        <v>0.14</v>
      </c>
      <c r="D12" s="11" t="n">
        <v>0.14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9.4</v>
      </c>
      <c r="C14" s="20" t="n">
        <v>9.4</v>
      </c>
      <c r="D14" s="20" t="n">
        <v>9.4</v>
      </c>
    </row>
    <row r="15" customFormat="false" ht="15" hidden="false" customHeight="false" outlineLevel="0" collapsed="false">
      <c r="A15" s="9" t="s">
        <v>30</v>
      </c>
      <c r="B15" s="23" t="n">
        <v>2.6</v>
      </c>
      <c r="C15" s="23" t="n">
        <v>2.6</v>
      </c>
      <c r="D15" s="23" t="n">
        <v>2.6</v>
      </c>
    </row>
    <row r="16" customFormat="false" ht="15" hidden="false" customHeight="false" outlineLevel="0" collapsed="false">
      <c r="A16" s="9" t="s">
        <v>31</v>
      </c>
      <c r="B16" s="20" t="n">
        <v>3.36</v>
      </c>
      <c r="C16" s="20" t="n">
        <v>3.36</v>
      </c>
      <c r="D16" s="20" t="n">
        <v>3.36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5.688</v>
      </c>
      <c r="C21" s="24" t="n">
        <f aca="false">C8*C9*(1-C10)</f>
        <v>11.06</v>
      </c>
      <c r="D21" s="24" t="n">
        <f aca="false">D8*D9*(1-D10)</f>
        <v>19.5525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142.2</v>
      </c>
      <c r="C22" s="24" t="n">
        <f aca="false">C21*C11</f>
        <v>331.8</v>
      </c>
      <c r="D22" s="24" t="n">
        <f aca="false">D21*D11</f>
        <v>879.8625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84.1938154420409</v>
      </c>
      <c r="C23" s="24" t="n">
        <f aca="false">C22/(1+C12)^C13</f>
        <v>196.452236031429</v>
      </c>
      <c r="D23" s="24" t="n">
        <f aca="false">D22/(1+D12)^D13</f>
        <v>520.949233047628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4.5504</v>
      </c>
      <c r="C24" s="24" t="n">
        <f aca="false">C21*C17</f>
        <v>8.848</v>
      </c>
      <c r="D24" s="24" t="n">
        <f aca="false">D21*D17</f>
        <v>15.642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3.6576</v>
      </c>
      <c r="C25" s="24" t="n">
        <f aca="false">C16+(C24-C16)*1/C13</f>
        <v>4.732</v>
      </c>
      <c r="D25" s="24" t="n">
        <f aca="false">D16+(D24-D16)*1/D13</f>
        <v>6.4305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3.9552</v>
      </c>
      <c r="C26" s="24" t="n">
        <f aca="false">C16+(C24-C16)*2/C13</f>
        <v>6.104</v>
      </c>
      <c r="D26" s="24" t="n">
        <f aca="false">D16+(D24-D16)*2/D13</f>
        <v>9.501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4.2528</v>
      </c>
      <c r="C27" s="24" t="n">
        <f aca="false">C16+(C24-C16)*3/C13</f>
        <v>7.476</v>
      </c>
      <c r="D27" s="24" t="n">
        <f aca="false">D16+(D24-D16)*3/D13</f>
        <v>12.5715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4.5504</v>
      </c>
      <c r="C28" s="24" t="n">
        <f aca="false">C16+(C24-C16)*4/C13</f>
        <v>8.848</v>
      </c>
      <c r="D28" s="24" t="n">
        <f aca="false">D16+(D24-D16)*4/D13</f>
        <v>15.642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11.8165399794865</v>
      </c>
      <c r="C29" s="24" t="n">
        <f aca="false">C25/(1+C12)^1+C26/(1+C12)^2+C27/(1+C12)^3+C28/(1+C12)^4</f>
        <v>19.1325203360629</v>
      </c>
      <c r="D29" s="24" t="n">
        <f aca="false">D25/(1+D12)^1+D26/(1+D12)^2+D27/(1+D12)^3+D28/(1+D12)^4</f>
        <v>30.6982245762387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105.410355421528</v>
      </c>
      <c r="C30" s="24" t="n">
        <f aca="false">C23+C29+C14</f>
        <v>224.984756367492</v>
      </c>
      <c r="D30" s="24" t="n">
        <f aca="false">D23+D29+D14</f>
        <v>561.047457623867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40.5424443928952</v>
      </c>
      <c r="C31" s="13" t="n">
        <f aca="false">C30/C15</f>
        <v>86.5325986028814</v>
      </c>
      <c r="D31" s="13" t="n">
        <f aca="false">D30/D15</f>
        <v>215.787483701487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Palantir Technologies (PLTR)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