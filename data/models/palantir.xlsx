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<sst xmlns="http://schemas.openxmlformats.org/spreadsheetml/2006/main" count="46" uniqueCount="36">
  <si>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</si>
  <si>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Palantir Technologies (PLTR)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</si>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</sst>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35.9976213238619</v>
      </c>
      <c r="C8" s="10" t="n">
        <f aca="false">Model!C23</f>
        <v>79.173936935165</v>
      </c>
      <c r="D8" s="10" t="n">
        <f aca="false">Model!D23</f>
        <v>203.980474249088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99.5814923608199</v>
      </c>
    </row>
    <row r="11" customFormat="false" ht="15" hidden="false" customHeight="false" outlineLevel="0" collapsed="false">
      <c r="A11" s="9" t="s">
        <v>10</v>
      </c>
      <c r="C11" s="14" t="n">
        <v>201.72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-0.506338031128198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(Model!$C$20/(1+B16)^Model!$C$13+Model!$C$14)/Model!$C$15</f>
        <v>84.7172686210473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(Model!$C$20/(1+B17)^Model!$C$13+Model!$C$14)/Model!$C$15</f>
        <v>81.8842899400066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(Model!$C$20/(1+B18)^Model!$C$13+Model!$C$14)/Model!$C$15</f>
        <v>79.173936935165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(Model!$C$20/(1+B19)^Model!$C$13+Model!$C$14)/Model!$C$15</f>
        <v>76.579894956834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(Model!$C$20/(1+B20)^Model!$C$13+Model!$C$14)/Model!$C$15</f>
        <v>74.0962254910544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18</v>
      </c>
      <c r="C8" s="20" t="n">
        <v>28</v>
      </c>
      <c r="D8" s="20" t="n">
        <v>45</v>
      </c>
    </row>
    <row r="9" customFormat="false" ht="15" hidden="false" customHeight="false" outlineLevel="0" collapsed="false">
      <c r="A9" s="9" t="s">
        <v>24</v>
      </c>
      <c r="B9" s="11" t="n">
        <v>0.4</v>
      </c>
      <c r="C9" s="11" t="n">
        <v>0.5</v>
      </c>
      <c r="D9" s="11" t="n">
        <v>0.55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45</v>
      </c>
    </row>
    <row r="12" customFormat="false" ht="15" hidden="false" customHeight="false" outlineLevel="0" collapsed="false">
      <c r="A12" s="9" t="s">
        <v>14</v>
      </c>
      <c r="B12" s="11" t="n">
        <v>0.14</v>
      </c>
      <c r="C12" s="11" t="n">
        <v>0.14</v>
      </c>
      <c r="D12" s="11" t="n">
        <v>0.14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9.4</v>
      </c>
      <c r="C14" s="20" t="n">
        <v>9.4</v>
      </c>
      <c r="D14" s="20" t="n">
        <v>9.4</v>
      </c>
    </row>
    <row r="15" customFormat="false" ht="15" hidden="false" customHeight="false" outlineLevel="0" collapsed="false">
      <c r="A15" s="9" t="s">
        <v>30</v>
      </c>
      <c r="B15" s="23" t="n">
        <v>2.6</v>
      </c>
      <c r="C15" s="23" t="n">
        <v>2.6</v>
      </c>
      <c r="D15" s="23" t="n">
        <v>2.6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5.688</v>
      </c>
      <c r="C19" s="24" t="n">
        <f aca="false">C8*C9*(1-C10)</f>
        <v>11.06</v>
      </c>
      <c r="D19" s="24" t="n">
        <f aca="false">D8*D9*(1-D10)</f>
        <v>19.5525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142.2</v>
      </c>
      <c r="C20" s="24" t="n">
        <f aca="false">C19*C11</f>
        <v>331.8</v>
      </c>
      <c r="D20" s="24" t="n">
        <f aca="false">D19*D11</f>
        <v>879.8625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84.1938154420409</v>
      </c>
      <c r="C21" s="24" t="n">
        <f aca="false">C20/(1+C12)^C13</f>
        <v>196.452236031429</v>
      </c>
      <c r="D21" s="24" t="n">
        <f aca="false">D20/(1+D12)^D13</f>
        <v>520.949233047628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93.593815442041</v>
      </c>
      <c r="C22" s="24" t="n">
        <f aca="false">C21+C14</f>
        <v>205.852236031429</v>
      </c>
      <c r="D22" s="24" t="n">
        <f aca="false">D21+D14</f>
        <v>530.349233047628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35.9976213238619</v>
      </c>
      <c r="C23" s="13" t="n">
        <f aca="false">C22/C15</f>
        <v>79.173936935165</v>
      </c>
      <c r="D23" s="13" t="n">
        <f aca="false">D22/D15</f>
        <v>203.980474249088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Palantir Technologies (PLTR)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