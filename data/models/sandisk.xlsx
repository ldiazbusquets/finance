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<sst xmlns="http://schemas.openxmlformats.org/spreadsheetml/2006/main" count="59" uniqueCount="49">
  <si>
    <t xml:space="preserve">LDB FINANCE</t>
  </si>
  <si>
    <t xml:space="preserve">Sandisk (SNDK)</t>
  </si>
  <si>
    <t xml:space="preserve">Cycle model: four years of free cash flow at the cycle’s prices, then a mid-cycle exit value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</si>
  <si>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</si>
  <si>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</si>
  <si>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</si>
  <si>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</si>
  <si>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</si>
  <si>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</si>
  <si>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</si>
  <si>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</si>
  <si>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</si>
  <si>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</si>
  <si>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</si>
  <si>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</si>
  <si>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</si>
  <si>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</si>
  <si>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</si>
  <si>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</si>
  <si>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</si>
  <si>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</si>
  <si>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billions, fiscal years</t>
  </si>
  <si>
    <t xml:space="preserve">INPUTS</t>
  </si>
  <si>
    <t xml:space="preserve">Revenue, FY2027 ($B)</t>
  </si>
  <si>
    <t xml:space="preserve">Revenue, FY2028 ($B)</t>
  </si>
  <si>
    <t xml:space="preserve">Revenue, FY2029 ($B)</t>
  </si>
  <si>
    <t xml:space="preserve">Revenue, FY2030 ($B)</t>
  </si>
  <si>
    <t xml:space="preserve">Free cash flow margin, FY2027</t>
  </si>
  <si>
    <t xml:space="preserve">Free cash flow margin, FY2028</t>
  </si>
  <si>
    <t xml:space="preserve">Free cash flow margin, FY2029</t>
  </si>
  <si>
    <t xml:space="preserve">Free cash flow margin, FY2030</t>
  </si>
  <si>
    <t xml:space="preserve">Mid-cycle revenue ($B)</t>
  </si>
  <si>
    <t xml:space="preserve">Mid-cycle operating margin</t>
  </si>
  <si>
    <t xml:space="preserve">Tax rate</t>
  </si>
  <si>
    <t xml:space="preserve">Exit multiple of after-tax operating profit</t>
  </si>
  <si>
    <t xml:space="preserve">Net cash ($B)</t>
  </si>
  <si>
    <t xml:space="preserve">Shares by 2030 (billions)</t>
  </si>
  <si>
    <t xml:space="preserve">VALUE</t>
  </si>
  <si>
    <t xml:space="preserve">Free cash flow, FY2027 ($B)</t>
  </si>
  <si>
    <t xml:space="preserve">Present value, FY2027 ($B)</t>
  </si>
  <si>
    <t xml:space="preserve">Free cash flow, FY2028 ($B)</t>
  </si>
  <si>
    <t xml:space="preserve">Present value, FY2028 ($B)</t>
  </si>
  <si>
    <t xml:space="preserve">Free cash flow, FY2029 ($B)</t>
  </si>
  <si>
    <t xml:space="preserve">Present value, FY2029 ($B)</t>
  </si>
  <si>
    <t xml:space="preserve">Free cash flow, FY2030 ($B)</t>
  </si>
  <si>
    <t xml:space="preserve">Present value, FY2030 ($B)</t>
  </si>
  <si>
    <t xml:space="preserve">Exit value at the end of year 4 ($B)</t>
  </si>
  <si>
    <t xml:space="preserve">Present value of the exit value ($B)</t>
  </si>
  <si>
    <t xml:space="preserve">Equity value ($B)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</si>
</sst>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Model!B37</f>
        <v>306.033516651718</v>
      </c>
      <c r="C8" s="10" t="n">
        <f aca="false">Model!C37</f>
        <v>636.335914561007</v>
      </c>
      <c r="D8" s="10" t="n">
        <f aca="false">Model!D37</f>
        <v>1486.53554935362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766.310223781838</v>
      </c>
    </row>
    <row r="11" customFormat="false" ht="15" hidden="false" customHeight="false" outlineLevel="0" collapsed="false">
      <c r="A11" s="9" t="s">
        <v>10</v>
      </c>
      <c r="C11" s="14" t="n">
        <v>1378.22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-0.443985558342037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0.13</v>
      </c>
      <c r="C16" s="18" t="n">
        <f aca="false">(Model!$C$8*Model!$C$12/(1+B16)^1+Model!$C$9*Model!$C$13/(1+B16)^2+Model!$C$10*Model!$C$14/(1+B16)^3+Model!$C$11*Model!$C$15/(1+B16)^4+Model!$C$34/(1+B16)^4+Model!$C$21)/Model!$C$22</f>
        <v>664.348933469296</v>
      </c>
    </row>
    <row r="17" customFormat="false" ht="15" hidden="false" customHeight="false" outlineLevel="0" collapsed="false">
      <c r="A17" s="16"/>
      <c r="B17" s="17" t="n">
        <v>0.14</v>
      </c>
      <c r="C17" s="18" t="n">
        <f aca="false">(Model!$C$8*Model!$C$12/(1+B17)^1+Model!$C$9*Model!$C$13/(1+B17)^2+Model!$C$10*Model!$C$14/(1+B17)^3+Model!$C$11*Model!$C$15/(1+B17)^4+Model!$C$34/(1+B17)^4+Model!$C$21)/Model!$C$22</f>
        <v>650.085082598988</v>
      </c>
    </row>
    <row r="18" customFormat="false" ht="15" hidden="false" customHeight="false" outlineLevel="0" collapsed="false">
      <c r="A18" s="16"/>
      <c r="B18" s="17" t="n">
        <v>0.15</v>
      </c>
      <c r="C18" s="18" t="n">
        <f aca="false">(Model!$C$8*Model!$C$12/(1+B18)^1+Model!$C$9*Model!$C$13/(1+B18)^2+Model!$C$10*Model!$C$14/(1+B18)^3+Model!$C$11*Model!$C$15/(1+B18)^4+Model!$C$34/(1+B18)^4+Model!$C$21)/Model!$C$22</f>
        <v>636.335914561007</v>
      </c>
    </row>
    <row r="19" customFormat="false" ht="15" hidden="false" customHeight="false" outlineLevel="0" collapsed="false">
      <c r="A19" s="16"/>
      <c r="B19" s="17" t="n">
        <v>0.16</v>
      </c>
      <c r="C19" s="18" t="n">
        <f aca="false">(Model!$C$8*Model!$C$12/(1+B19)^1+Model!$C$9*Model!$C$13/(1+B19)^2+Model!$C$10*Model!$C$14/(1+B19)^3+Model!$C$11*Model!$C$15/(1+B19)^4+Model!$C$34/(1+B19)^4+Model!$C$21)/Model!$C$22</f>
        <v>623.07742655795</v>
      </c>
    </row>
    <row r="20" customFormat="false" ht="15" hidden="false" customHeight="false" outlineLevel="0" collapsed="false">
      <c r="A20" s="16"/>
      <c r="B20" s="17" t="n">
        <v>0.17</v>
      </c>
      <c r="C20" s="18" t="n">
        <f aca="false">(Model!$C$8*Model!$C$12/(1+B20)^1+Model!$C$9*Model!$C$13/(1+B20)^2+Model!$C$10*Model!$C$14/(1+B20)^3+Model!$C$11*Model!$C$15/(1+B20)^4+Model!$C$34/(1+B20)^4+Model!$C$21)/Model!$C$22</f>
        <v>610.286958370349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40</v>
      </c>
      <c r="C8" s="20" t="n">
        <v>45</v>
      </c>
      <c r="D8" s="20" t="n">
        <v>52</v>
      </c>
    </row>
    <row r="9" customFormat="false" ht="15" hidden="false" customHeight="false" outlineLevel="0" collapsed="false">
      <c r="A9" s="9" t="s">
        <v>24</v>
      </c>
      <c r="B9" s="20" t="n">
        <v>35</v>
      </c>
      <c r="C9" s="20" t="n">
        <v>50</v>
      </c>
      <c r="D9" s="20" t="n">
        <v>65</v>
      </c>
    </row>
    <row r="10" customFormat="false" ht="15" hidden="false" customHeight="false" outlineLevel="0" collapsed="false">
      <c r="A10" s="9" t="s">
        <v>25</v>
      </c>
      <c r="B10" s="20" t="n">
        <v>20</v>
      </c>
      <c r="C10" s="20" t="n">
        <v>35</v>
      </c>
      <c r="D10" s="20" t="n">
        <v>65</v>
      </c>
    </row>
    <row r="11" customFormat="false" ht="15" hidden="false" customHeight="false" outlineLevel="0" collapsed="false">
      <c r="A11" s="9" t="s">
        <v>26</v>
      </c>
      <c r="B11" s="20" t="n">
        <v>16</v>
      </c>
      <c r="C11" s="20" t="n">
        <v>25</v>
      </c>
      <c r="D11" s="20" t="n">
        <v>60</v>
      </c>
    </row>
    <row r="12" customFormat="false" ht="15" hidden="false" customHeight="false" outlineLevel="0" collapsed="false">
      <c r="A12" s="9" t="s">
        <v>27</v>
      </c>
      <c r="B12" s="11" t="n">
        <v>0.6</v>
      </c>
      <c r="C12" s="11" t="n">
        <v>0.65</v>
      </c>
      <c r="D12" s="11" t="n">
        <v>0.68</v>
      </c>
    </row>
    <row r="13" customFormat="false" ht="15" hidden="false" customHeight="false" outlineLevel="0" collapsed="false">
      <c r="A13" s="9" t="s">
        <v>28</v>
      </c>
      <c r="B13" s="11" t="n">
        <v>0.42</v>
      </c>
      <c r="C13" s="11" t="n">
        <v>0.6</v>
      </c>
      <c r="D13" s="11" t="n">
        <v>0.65</v>
      </c>
    </row>
    <row r="14" customFormat="false" ht="15" hidden="false" customHeight="false" outlineLevel="0" collapsed="false">
      <c r="A14" s="9" t="s">
        <v>29</v>
      </c>
      <c r="B14" s="11" t="n">
        <v>0.1</v>
      </c>
      <c r="C14" s="11" t="n">
        <v>0.35</v>
      </c>
      <c r="D14" s="11" t="n">
        <v>0.62</v>
      </c>
    </row>
    <row r="15" customFormat="false" ht="15" hidden="false" customHeight="false" outlineLevel="0" collapsed="false">
      <c r="A15" s="9" t="s">
        <v>30</v>
      </c>
      <c r="B15" s="11" t="n">
        <v>0</v>
      </c>
      <c r="C15" s="11" t="n">
        <v>0.2</v>
      </c>
      <c r="D15" s="11" t="n">
        <v>0.6</v>
      </c>
    </row>
    <row r="16" customFormat="false" ht="15" hidden="false" customHeight="false" outlineLevel="0" collapsed="false">
      <c r="A16" s="9" t="s">
        <v>31</v>
      </c>
      <c r="B16" s="20" t="n">
        <v>18</v>
      </c>
      <c r="C16" s="20" t="n">
        <v>28</v>
      </c>
      <c r="D16" s="20" t="n">
        <v>50</v>
      </c>
    </row>
    <row r="17" customFormat="false" ht="15" hidden="false" customHeight="false" outlineLevel="0" collapsed="false">
      <c r="A17" s="9" t="s">
        <v>32</v>
      </c>
      <c r="B17" s="11" t="n">
        <v>0.12</v>
      </c>
      <c r="C17" s="11" t="n">
        <v>0.25</v>
      </c>
      <c r="D17" s="11" t="n">
        <v>0.4</v>
      </c>
    </row>
    <row r="18" customFormat="false" ht="15" hidden="false" customHeight="false" outlineLevel="0" collapsed="false">
      <c r="A18" s="9" t="s">
        <v>33</v>
      </c>
      <c r="B18" s="11" t="n">
        <v>0.21</v>
      </c>
      <c r="C18" s="11" t="n">
        <v>0.21</v>
      </c>
      <c r="D18" s="11" t="n">
        <v>0.21</v>
      </c>
    </row>
    <row r="19" customFormat="false" ht="15" hidden="false" customHeight="false" outlineLevel="0" collapsed="false">
      <c r="A19" s="9" t="s">
        <v>34</v>
      </c>
      <c r="B19" s="21" t="n">
        <v>8</v>
      </c>
      <c r="C19" s="21" t="n">
        <v>10</v>
      </c>
      <c r="D19" s="21" t="n">
        <v>12</v>
      </c>
    </row>
    <row r="20" customFormat="false" ht="15" hidden="false" customHeight="false" outlineLevel="0" collapsed="false">
      <c r="A20" s="9" t="s">
        <v>14</v>
      </c>
      <c r="B20" s="11" t="n">
        <v>0.15</v>
      </c>
      <c r="C20" s="11" t="n">
        <v>0.15</v>
      </c>
      <c r="D20" s="11" t="n">
        <v>0.15</v>
      </c>
    </row>
    <row r="21" customFormat="false" ht="15" hidden="false" customHeight="false" outlineLevel="0" collapsed="false">
      <c r="A21" s="9" t="s">
        <v>35</v>
      </c>
      <c r="B21" s="20" t="n">
        <v>4.8</v>
      </c>
      <c r="C21" s="20" t="n">
        <v>4.8</v>
      </c>
      <c r="D21" s="20" t="n">
        <v>4.8</v>
      </c>
    </row>
    <row r="22" customFormat="false" ht="15" hidden="false" customHeight="false" outlineLevel="0" collapsed="false">
      <c r="A22" s="9" t="s">
        <v>36</v>
      </c>
      <c r="B22" s="22" t="n">
        <v>0.15</v>
      </c>
      <c r="C22" s="22" t="n">
        <v>0.15</v>
      </c>
      <c r="D22" s="22" t="n">
        <v>0.15</v>
      </c>
    </row>
    <row r="24" customFormat="false" ht="19.5" hidden="false" customHeight="true" outlineLevel="0" collapsed="false">
      <c r="A24" s="5" t="s">
        <v>37</v>
      </c>
      <c r="B24" s="6"/>
      <c r="C24" s="6"/>
      <c r="D24" s="6"/>
      <c r="E24" s="6"/>
    </row>
    <row r="25" customFormat="false" ht="30" hidden="false" customHeight="true" outlineLevel="0" collapsed="false">
      <c r="A25" s="7"/>
      <c r="B25" s="8" t="s">
        <v>4</v>
      </c>
      <c r="C25" s="8" t="s">
        <v>5</v>
      </c>
      <c r="D25" s="8" t="s">
        <v>6</v>
      </c>
    </row>
    <row r="26" customFormat="false" ht="15" hidden="false" customHeight="false" outlineLevel="0" collapsed="false">
      <c r="A26" s="9" t="s">
        <v>38</v>
      </c>
      <c r="B26" s="23" t="n">
        <f aca="false">B8*B12</f>
        <v>24</v>
      </c>
      <c r="C26" s="23" t="n">
        <f aca="false">C8*C12</f>
        <v>29.25</v>
      </c>
      <c r="D26" s="23" t="n">
        <f aca="false">D8*D12</f>
        <v>35.36</v>
      </c>
    </row>
    <row r="27" customFormat="false" ht="15" hidden="false" customHeight="false" outlineLevel="0" collapsed="false">
      <c r="A27" s="9" t="s">
        <v>39</v>
      </c>
      <c r="B27" s="23" t="n">
        <f aca="false">B26/(1+B20)^1</f>
        <v>20.8695652173913</v>
      </c>
      <c r="C27" s="23" t="n">
        <f aca="false">C26/(1+C20)^1</f>
        <v>25.4347826086957</v>
      </c>
      <c r="D27" s="23" t="n">
        <f aca="false">D26/(1+D20)^1</f>
        <v>30.7478260869565</v>
      </c>
    </row>
    <row r="28" customFormat="false" ht="15" hidden="false" customHeight="false" outlineLevel="0" collapsed="false">
      <c r="A28" s="9" t="s">
        <v>40</v>
      </c>
      <c r="B28" s="23" t="n">
        <f aca="false">B9*B13</f>
        <v>14.7</v>
      </c>
      <c r="C28" s="23" t="n">
        <f aca="false">C9*C13</f>
        <v>30</v>
      </c>
      <c r="D28" s="23" t="n">
        <f aca="false">D9*D13</f>
        <v>42.25</v>
      </c>
    </row>
    <row r="29" customFormat="false" ht="15" hidden="false" customHeight="false" outlineLevel="0" collapsed="false">
      <c r="A29" s="9" t="s">
        <v>41</v>
      </c>
      <c r="B29" s="23" t="n">
        <f aca="false">B28/(1+B20)^2</f>
        <v>11.1153119092628</v>
      </c>
      <c r="C29" s="23" t="n">
        <f aca="false">C28/(1+C20)^2</f>
        <v>22.6843100189036</v>
      </c>
      <c r="D29" s="23" t="n">
        <f aca="false">D28/(1+D20)^2</f>
        <v>31.9470699432892</v>
      </c>
    </row>
    <row r="30" customFormat="false" ht="15" hidden="false" customHeight="false" outlineLevel="0" collapsed="false">
      <c r="A30" s="9" t="s">
        <v>42</v>
      </c>
      <c r="B30" s="23" t="n">
        <f aca="false">B10*B14</f>
        <v>2</v>
      </c>
      <c r="C30" s="23" t="n">
        <f aca="false">C10*C14</f>
        <v>12.25</v>
      </c>
      <c r="D30" s="23" t="n">
        <f aca="false">D10*D14</f>
        <v>40.3</v>
      </c>
    </row>
    <row r="31" customFormat="false" ht="15" hidden="false" customHeight="false" outlineLevel="0" collapsed="false">
      <c r="A31" s="9" t="s">
        <v>43</v>
      </c>
      <c r="B31" s="23" t="n">
        <f aca="false">B30/(1+B20)^3</f>
        <v>1.31503246486398</v>
      </c>
      <c r="C31" s="23" t="n">
        <f aca="false">C30/(1+C20)^3</f>
        <v>8.05457384729186</v>
      </c>
      <c r="D31" s="23" t="n">
        <f aca="false">D30/(1+D20)^3</f>
        <v>26.4979041670091</v>
      </c>
    </row>
    <row r="32" customFormat="false" ht="15" hidden="false" customHeight="false" outlineLevel="0" collapsed="false">
      <c r="A32" s="9" t="s">
        <v>44</v>
      </c>
      <c r="B32" s="23" t="n">
        <f aca="false">B11*B15</f>
        <v>0</v>
      </c>
      <c r="C32" s="23" t="n">
        <f aca="false">C11*C15</f>
        <v>5</v>
      </c>
      <c r="D32" s="23" t="n">
        <f aca="false">D11*D15</f>
        <v>36</v>
      </c>
    </row>
    <row r="33" customFormat="false" ht="15" hidden="false" customHeight="false" outlineLevel="0" collapsed="false">
      <c r="A33" s="9" t="s">
        <v>45</v>
      </c>
      <c r="B33" s="23" t="n">
        <f aca="false">B32/(1+B20)^4</f>
        <v>0</v>
      </c>
      <c r="C33" s="23" t="n">
        <f aca="false">C32/(1+C20)^4</f>
        <v>2.85876622796517</v>
      </c>
      <c r="D33" s="23" t="n">
        <f aca="false">D32/(1+D20)^4</f>
        <v>20.5831168413492</v>
      </c>
    </row>
    <row r="34" customFormat="false" ht="15" hidden="false" customHeight="false" outlineLevel="0" collapsed="false">
      <c r="A34" s="9" t="s">
        <v>46</v>
      </c>
      <c r="B34" s="23" t="n">
        <f aca="false">B16*B17*(1-B18)*B19</f>
        <v>13.6512</v>
      </c>
      <c r="C34" s="23" t="n">
        <f aca="false">C16*C17*(1-C18)*C19</f>
        <v>55.3</v>
      </c>
      <c r="D34" s="23" t="n">
        <f aca="false">D16*D17*(1-D18)*D19</f>
        <v>189.6</v>
      </c>
    </row>
    <row r="35" customFormat="false" ht="15" hidden="false" customHeight="false" outlineLevel="0" collapsed="false">
      <c r="A35" s="9" t="s">
        <v>47</v>
      </c>
      <c r="B35" s="23" t="n">
        <f aca="false">B34/(1+B20)^4</f>
        <v>7.80511790623962</v>
      </c>
      <c r="C35" s="23" t="n">
        <f aca="false">C34/(1+C20)^4</f>
        <v>31.6179544812948</v>
      </c>
      <c r="D35" s="23" t="n">
        <f aca="false">D34/(1+D20)^4</f>
        <v>108.404415364439</v>
      </c>
    </row>
    <row r="36" customFormat="false" ht="15" hidden="false" customHeight="false" outlineLevel="0" collapsed="false">
      <c r="A36" s="9" t="s">
        <v>48</v>
      </c>
      <c r="B36" s="23" t="n">
        <f aca="false">B27+B29+B31+B33+B35+B21</f>
        <v>45.9050274977577</v>
      </c>
      <c r="C36" s="23" t="n">
        <f aca="false">C27+C29+C31+C33+C35+C21</f>
        <v>95.450387184151</v>
      </c>
      <c r="D36" s="23" t="n">
        <f aca="false">D27+D29+D31+D33+D35+D21</f>
        <v>222.980332403043</v>
      </c>
    </row>
    <row r="37" customFormat="false" ht="15" hidden="false" customHeight="false" outlineLevel="0" collapsed="false">
      <c r="A37" s="12" t="s">
        <v>15</v>
      </c>
      <c r="B37" s="13" t="n">
        <f aca="false">B36/B22</f>
        <v>306.033516651718</v>
      </c>
      <c r="C37" s="13" t="n">
        <f aca="false">C36/C22</f>
        <v>636.335914561007</v>
      </c>
      <c r="D37" s="13" t="n">
        <f aca="false">D36/D22</f>
        <v>1486.53554935362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2026-10-22T14:43:37Z</dcterms:created>
  <dc:creator>LDB Finance</dc:creator>
  <dc:description/>
  <dc:language>en-US</dc:language>
  <cp:lastModifiedBy/>
  <dcterms:modified xsi:type="dcterms:W3CDTF">2026-10-22T14:43:37Z</dcterms:modified>
  <cp:revision>0</cp:revision>
  <dc:subject/>
  <dc:title>Sandisk (SNDK)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