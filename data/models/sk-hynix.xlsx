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<sst xmlns="http://schemas.openxmlformats.org/spreadsheetml/2006/main" count="59" uniqueCount="49">
  <si>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</si>
  <si>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SK hynix (SKHY), per ADR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</si>
  <si>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</si>
  <si>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</si>
  <si>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</si>
  <si>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</si>
  <si>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</si>
  <si>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</si>
  <si>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</si>
  <si>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</si>
  <si>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</si>
  <si>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</si>
  <si>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</si>
  <si>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</si>
  <si>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</si>
  <si>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</si>
  <si>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</si>
  <si>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</si>
  <si>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</si>
  <si>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</si>
  <si>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</si>
  <si>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</si>
  <si>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</si>
  <si>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2027 ($B)</t>
  </si>
  <si>
    <t xml:space="preserve">Revenue, 2028 ($B)</t>
  </si>
  <si>
    <t xml:space="preserve">Revenue, 2029 ($B)</t>
  </si>
  <si>
    <t xml:space="preserve">Revenue, 2030 ($B)</t>
  </si>
  <si>
    <t xml:space="preserve">Free cash flow margin, 2027</t>
  </si>
  <si>
    <t xml:space="preserve">Free cash flow margin, 2028</t>
  </si>
  <si>
    <t xml:space="preserve">Free cash flow margin, 2029</t>
  </si>
  <si>
    <t xml:space="preserve">Free cash flow margin, 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</si>
  <si>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</si>
  <si>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</si>
  <si>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</si>
  <si>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</si>
  <si>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</si>
  <si>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</si>
  <si>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</si>
  <si>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2027 ($B)</t>
  </si>
  <si>
    <t xml:space="preserve">Present value, 2027 ($B)</t>
  </si>
  <si>
    <t xml:space="preserve">Free cash flow, 2028 ($B)</t>
  </si>
  <si>
    <t xml:space="preserve">Present value, 2028 ($B)</t>
  </si>
  <si>
    <t xml:space="preserve">Free cash flow, 2029 ($B)</t>
  </si>
  <si>
    <t xml:space="preserve">Present value, 2029 ($B)</t>
  </si>
  <si>
    <t xml:space="preserve">Free cash flow, 2030 ($B)</t>
  </si>
  <si>
    <t xml:space="preserve">Present value, 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</si>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</sst>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59.6688227580409</v>
      </c>
      <c r="C8" s="10" t="n">
        <f aca="false">Model!C37</f>
        <v>110.786746876095</v>
      </c>
      <c r="D8" s="10" t="n">
        <f aca="false">Model!D37</f>
        <v>214.965618877626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124.051983846964</v>
      </c>
    </row>
    <row r="11" customFormat="false" ht="15" hidden="false" customHeight="false" outlineLevel="0" collapsed="false">
      <c r="A11" s="9" t="s">
        <v>10</v>
      </c>
      <c r="C11" s="14" t="n">
        <v>131.69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-0.0579999707877257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116.308969152247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113.492446131251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110.786746876095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108.186424781563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105.686349020575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280</v>
      </c>
      <c r="C8" s="20" t="n">
        <v>330</v>
      </c>
      <c r="D8" s="20" t="n">
        <v>380</v>
      </c>
    </row>
    <row r="9" customFormat="false" ht="15" hidden="false" customHeight="false" outlineLevel="0" collapsed="false">
      <c r="A9" s="9" t="s">
        <v>24</v>
      </c>
      <c r="B9" s="20" t="n">
        <v>230</v>
      </c>
      <c r="C9" s="20" t="n">
        <v>350</v>
      </c>
      <c r="D9" s="20" t="n">
        <v>450</v>
      </c>
    </row>
    <row r="10" customFormat="false" ht="15" hidden="false" customHeight="false" outlineLevel="0" collapsed="false">
      <c r="A10" s="9" t="s">
        <v>25</v>
      </c>
      <c r="B10" s="20" t="n">
        <v>150</v>
      </c>
      <c r="C10" s="20" t="n">
        <v>240</v>
      </c>
      <c r="D10" s="20" t="n">
        <v>400</v>
      </c>
    </row>
    <row r="11" customFormat="false" ht="15" hidden="false" customHeight="false" outlineLevel="0" collapsed="false">
      <c r="A11" s="9" t="s">
        <v>26</v>
      </c>
      <c r="B11" s="20" t="n">
        <v>120</v>
      </c>
      <c r="C11" s="20" t="n">
        <v>180</v>
      </c>
      <c r="D11" s="20" t="n">
        <v>350</v>
      </c>
    </row>
    <row r="12" customFormat="false" ht="15" hidden="false" customHeight="false" outlineLevel="0" collapsed="false">
      <c r="A12" s="9" t="s">
        <v>27</v>
      </c>
      <c r="B12" s="11" t="n">
        <v>0.45</v>
      </c>
      <c r="C12" s="11" t="n">
        <v>0.5</v>
      </c>
      <c r="D12" s="11" t="n">
        <v>0.55</v>
      </c>
    </row>
    <row r="13" customFormat="false" ht="15" hidden="false" customHeight="false" outlineLevel="0" collapsed="false">
      <c r="A13" s="9" t="s">
        <v>28</v>
      </c>
      <c r="B13" s="11" t="n">
        <v>0.35</v>
      </c>
      <c r="C13" s="11" t="n">
        <v>0.45</v>
      </c>
      <c r="D13" s="11" t="n">
        <v>0.52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0.28</v>
      </c>
      <c r="D14" s="11" t="n">
        <v>0.45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</v>
      </c>
    </row>
    <row r="16" customFormat="false" ht="15" hidden="false" customHeight="false" outlineLevel="0" collapsed="false">
      <c r="A16" s="9" t="s">
        <v>31</v>
      </c>
      <c r="B16" s="20" t="n">
        <v>150</v>
      </c>
      <c r="C16" s="20" t="n">
        <v>210</v>
      </c>
      <c r="D16" s="20" t="n">
        <v>320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80</v>
      </c>
      <c r="C21" s="20" t="n">
        <v>80</v>
      </c>
      <c r="D21" s="20" t="n">
        <v>80</v>
      </c>
    </row>
    <row r="22" customFormat="false" ht="15" hidden="false" customHeight="false" outlineLevel="0" collapsed="false">
      <c r="A22" s="9" t="s">
        <v>36</v>
      </c>
      <c r="B22" s="22" t="n">
        <v>7.4</v>
      </c>
      <c r="C22" s="22" t="n">
        <v>7.4</v>
      </c>
      <c r="D22" s="22" t="n">
        <v>7.4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126</v>
      </c>
      <c r="C26" s="23" t="n">
        <f aca="false">C8*C12</f>
        <v>165</v>
      </c>
      <c r="D26" s="23" t="n">
        <f aca="false">D8*D12</f>
        <v>209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110.526315789474</v>
      </c>
      <c r="C27" s="23" t="n">
        <f aca="false">C26/(1+C20)^1</f>
        <v>144.736842105263</v>
      </c>
      <c r="D27" s="23" t="n">
        <f aca="false">D26/(1+D20)^1</f>
        <v>183.333333333333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80.5</v>
      </c>
      <c r="C28" s="23" t="n">
        <f aca="false">C9*C13</f>
        <v>157.5</v>
      </c>
      <c r="D28" s="23" t="n">
        <f aca="false">D9*D13</f>
        <v>234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61.942136041859</v>
      </c>
      <c r="C29" s="23" t="n">
        <f aca="false">C28/(1+C20)^2</f>
        <v>121.191135734072</v>
      </c>
      <c r="D29" s="23" t="n">
        <f aca="false">D28/(1+D20)^2</f>
        <v>180.05540166205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15</v>
      </c>
      <c r="C30" s="23" t="n">
        <f aca="false">C10*C14</f>
        <v>67.2</v>
      </c>
      <c r="D30" s="23" t="n">
        <f aca="false">D10*D14</f>
        <v>180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10.1245727430302</v>
      </c>
      <c r="C31" s="23" t="n">
        <f aca="false">C30/(1+C20)^3</f>
        <v>45.3580858887755</v>
      </c>
      <c r="D31" s="23" t="n">
        <f aca="false">D30/(1+D20)^3</f>
        <v>121.494872916363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6</v>
      </c>
      <c r="C32" s="23" t="n">
        <f aca="false">C11*C15</f>
        <v>27</v>
      </c>
      <c r="D32" s="23" t="n">
        <f aca="false">D11*D15</f>
        <v>140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3.55248166422114</v>
      </c>
      <c r="C33" s="23" t="n">
        <f aca="false">C32/(1+C20)^4</f>
        <v>15.9861674889951</v>
      </c>
      <c r="D33" s="23" t="n">
        <f aca="false">D32/(1+D20)^4</f>
        <v>82.8912388318265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296.25</v>
      </c>
      <c r="C34" s="23" t="n">
        <f aca="false">C16*C17*(1-C18)*C19</f>
        <v>696.78</v>
      </c>
      <c r="D34" s="23" t="n">
        <f aca="false">D16*D17*(1-D18)*D19</f>
        <v>1592.64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175.403782170919</v>
      </c>
      <c r="C35" s="23" t="n">
        <f aca="false">C34/(1+C20)^4</f>
        <v>412.549695666001</v>
      </c>
      <c r="D35" s="23" t="n">
        <f aca="false">D34/(1+D20)^4</f>
        <v>942.970732950859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441.549288409503</v>
      </c>
      <c r="C36" s="23" t="n">
        <f aca="false">C27+C29+C31+C33+C35+C21</f>
        <v>819.821926883106</v>
      </c>
      <c r="D36" s="23" t="n">
        <f aca="false">D27+D29+D31+D33+D35+D21</f>
        <v>1590.74557969443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59.6688227580409</v>
      </c>
      <c r="C37" s="13" t="n">
        <f aca="false">C36/C22</f>
        <v>110.786746876095</v>
      </c>
      <c r="D37" s="13" t="n">
        <f aca="false">D36/D22</f>
        <v>214.965618877626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SK hynix (SKHY), per ADR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