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<sst xmlns="http://schemas.openxmlformats.org/spreadsheetml/2006/main" count="56" uniqueCount="46">
  <si>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</si>
  <si>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SpaceX (SPCX)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</si>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</sst>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42.8065967153747</v>
      </c>
      <c r="C8" s="10" t="n">
        <f aca="false">Model!C31</f>
        <v>123.15285571145</v>
      </c>
      <c r="D8" s="10" t="n">
        <f aca="false">Model!D31</f>
        <v>287.929760885525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144.26051725595</v>
      </c>
    </row>
    <row r="11" customFormat="false" ht="15" hidden="false" customHeight="false" outlineLevel="0" collapsed="false">
      <c r="A11" s="9" t="s">
        <v>10</v>
      </c>
      <c r="C11" s="14" t="n">
        <v>162.57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-0.11262522448207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(Model!$C$22/(1+B16)^Model!$C$13+Model!$C$25/(1+B16)^1+Model!$C$26/(1+B16)^2+Model!$C$27/(1+B16)^3+Model!$C$28/(1+B16)^4+Model!$C$14)/Model!$C$15</f>
        <v>132.11013508919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(Model!$C$22/(1+B17)^Model!$C$13+Model!$C$25/(1+B17)^1+Model!$C$26/(1+B17)^2+Model!$C$27/(1+B17)^3+Model!$C$28/(1+B17)^4+Model!$C$14)/Model!$C$15</f>
        <v>127.530827204228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(Model!$C$22/(1+B18)^Model!$C$13+Model!$C$25/(1+B18)^1+Model!$C$26/(1+B18)^2+Model!$C$27/(1+B18)^3+Model!$C$28/(1+B18)^4+Model!$C$14)/Model!$C$15</f>
        <v>123.15285571145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(Model!$C$22/(1+B19)^Model!$C$13+Model!$C$25/(1+B19)^1+Model!$C$26/(1+B19)^2+Model!$C$27/(1+B19)^3+Model!$C$28/(1+B19)^4+Model!$C$14)/Model!$C$15</f>
        <v>118.965690872396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(Model!$C$22/(1+B20)^Model!$C$13+Model!$C$25/(1+B20)^1+Model!$C$26/(1+B20)^2+Model!$C$27/(1+B20)^3+Model!$C$28/(1+B20)^4+Model!$C$14)/Model!$C$15</f>
        <v>114.959440091142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250</v>
      </c>
      <c r="C8" s="20" t="n">
        <v>500</v>
      </c>
      <c r="D8" s="20" t="n">
        <v>900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22</v>
      </c>
      <c r="D11" s="21" t="n">
        <v>25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51.1</v>
      </c>
      <c r="C14" s="20" t="n">
        <v>51.1</v>
      </c>
      <c r="D14" s="20" t="n">
        <v>51.1</v>
      </c>
    </row>
    <row r="15" customFormat="false" ht="15" hidden="false" customHeight="false" outlineLevel="0" collapsed="false">
      <c r="A15" s="9" t="s">
        <v>30</v>
      </c>
      <c r="B15" s="23" t="n">
        <v>13.57</v>
      </c>
      <c r="C15" s="23" t="n">
        <v>13.57</v>
      </c>
      <c r="D15" s="23" t="n">
        <v>13.57</v>
      </c>
    </row>
    <row r="16" customFormat="false" ht="15" hidden="false" customHeight="false" outlineLevel="0" collapsed="false">
      <c r="A16" s="9" t="s">
        <v>31</v>
      </c>
      <c r="B16" s="20" t="n">
        <v>-68</v>
      </c>
      <c r="C16" s="20" t="n">
        <v>-68</v>
      </c>
      <c r="D16" s="20" t="n">
        <v>-68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43.45</v>
      </c>
      <c r="C21" s="24" t="n">
        <f aca="false">C8*C9*(1-C10)</f>
        <v>110.6</v>
      </c>
      <c r="D21" s="24" t="n">
        <f aca="false">D8*D9*(1-D10)</f>
        <v>227.52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869</v>
      </c>
      <c r="C22" s="24" t="n">
        <f aca="false">C21*C11</f>
        <v>2433.2</v>
      </c>
      <c r="D22" s="24" t="n">
        <f aca="false">D21*D11</f>
        <v>5688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552.265210133798</v>
      </c>
      <c r="C23" s="24" t="n">
        <f aca="false">C22/(1+C12)^C13</f>
        <v>1546.34258837464</v>
      </c>
      <c r="D23" s="24" t="n">
        <f aca="false">D22/(1+D12)^D13</f>
        <v>3614.82682996668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34.76</v>
      </c>
      <c r="C24" s="24" t="n">
        <f aca="false">C21*C17</f>
        <v>88.48</v>
      </c>
      <c r="D24" s="24" t="n">
        <f aca="false">D21*D17</f>
        <v>182.016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-42.31</v>
      </c>
      <c r="C25" s="24" t="n">
        <f aca="false">C16+(C24-C16)*1/C13</f>
        <v>-28.88</v>
      </c>
      <c r="D25" s="24" t="n">
        <f aca="false">D16+(D24-D16)*1/D13</f>
        <v>-5.496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-16.62</v>
      </c>
      <c r="C26" s="24" t="n">
        <f aca="false">C16+(C24-C16)*2/C13</f>
        <v>10.24</v>
      </c>
      <c r="D26" s="24" t="n">
        <f aca="false">D16+(D24-D16)*2/D13</f>
        <v>57.008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9.07000000000001</v>
      </c>
      <c r="C27" s="24" t="n">
        <f aca="false">C16+(C24-C16)*3/C13</f>
        <v>49.36</v>
      </c>
      <c r="D27" s="24" t="n">
        <f aca="false">D16+(D24-D16)*3/D13</f>
        <v>119.512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34.76</v>
      </c>
      <c r="C28" s="24" t="n">
        <f aca="false">C16+(C24-C16)*4/C13</f>
        <v>88.48</v>
      </c>
      <c r="D28" s="24" t="n">
        <f aca="false">D16+(D24-D16)*4/D13</f>
        <v>182.016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-22.4796927061641</v>
      </c>
      <c r="C29" s="24" t="n">
        <f aca="false">C25/(1+C12)^1+C26/(1+C12)^2+C27/(1+C12)^3+C28/(1+C12)^4</f>
        <v>73.7416636297376</v>
      </c>
      <c r="D29" s="24" t="n">
        <f aca="false">D25/(1+D12)^1+D26/(1+D12)^2+D27/(1+D12)^3+D28/(1+D12)^4</f>
        <v>241.280025249896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580.885517427634</v>
      </c>
      <c r="C30" s="24" t="n">
        <f aca="false">C23+C29+C14</f>
        <v>1671.18425200437</v>
      </c>
      <c r="D30" s="24" t="n">
        <f aca="false">D23+D29+D14</f>
        <v>3907.20685521658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42.8065967153747</v>
      </c>
      <c r="C31" s="13" t="n">
        <f aca="false">C30/C15</f>
        <v>123.15285571145</v>
      </c>
      <c r="D31" s="13" t="n">
        <f aca="false">D30/D15</f>
        <v>287.929760885525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SpaceX (SPCX)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