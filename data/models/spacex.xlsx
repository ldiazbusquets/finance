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<sst xmlns="http://schemas.openxmlformats.org/spreadsheetml/2006/main" count="46" uniqueCount="36">
  <si>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 xml:space="preserve">LDB FINANCE</t>
  </si>
  <si>
    <t xml:space="preserve">SpaceX (SPCX)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</si>
  <si>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</si>
  <si>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</si>
  <si>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</si>
  <si>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</si>
  <si>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</si>
  <si>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</si>
  <si>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</si>
  <si>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</si>
  <si>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</si>
  <si>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</si>
  <si>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</si>
  <si>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</si>
  <si>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</si>
  <si>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</si>
  <si>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</si>
  <si>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</si>
  <si>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</si>
  <si>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</si>
  <si>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</si>
  <si>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</si>
  <si>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</si>
  <si>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</si>
  <si>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</si>
  <si>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</si>
  <si>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</si>
  <si>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</si>
  <si>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</si>
  <si>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</si>
  <si>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Shares by 2030 (billions)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</si>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</sst>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Model!B23</f>
        <v>44.4631695013853</v>
      </c>
      <c r="C8" s="10" t="n">
        <f aca="false">Model!C23</f>
        <v>117.718687426281</v>
      </c>
      <c r="D8" s="10" t="n">
        <f aca="false">Model!D23</f>
        <v>270.149361088186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137.512476360533</v>
      </c>
    </row>
    <row r="11" customFormat="false" ht="15" hidden="false" customHeight="false" outlineLevel="0" collapsed="false">
      <c r="A11" s="9" t="s">
        <v>10</v>
      </c>
      <c r="C11" s="14" t="n">
        <v>162.57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-0.154133749396978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</v>
      </c>
      <c r="C16" s="18" t="n">
        <f aca="false">(Model!$C$20/(1+B16)^Model!$C$13+Model!$C$14)/Model!$C$15</f>
        <v>126.234955018002</v>
      </c>
    </row>
    <row r="17" customFormat="false" ht="15" hidden="false" customHeight="false" outlineLevel="0" collapsed="false">
      <c r="A17" s="16"/>
      <c r="B17" s="17" t="n">
        <v>0.11</v>
      </c>
      <c r="C17" s="18" t="n">
        <f aca="false">(Model!$C$20/(1+B17)^Model!$C$13+Model!$C$14)/Model!$C$15</f>
        <v>121.880928982286</v>
      </c>
    </row>
    <row r="18" customFormat="false" ht="15" hidden="false" customHeight="false" outlineLevel="0" collapsed="false">
      <c r="A18" s="16"/>
      <c r="B18" s="17" t="n">
        <v>0.12</v>
      </c>
      <c r="C18" s="18" t="n">
        <f aca="false">(Model!$C$20/(1+B18)^Model!$C$13+Model!$C$14)/Model!$C$15</f>
        <v>117.718687426281</v>
      </c>
    </row>
    <row r="19" customFormat="false" ht="15" hidden="false" customHeight="false" outlineLevel="0" collapsed="false">
      <c r="A19" s="16"/>
      <c r="B19" s="17" t="n">
        <v>0.13</v>
      </c>
      <c r="C19" s="18" t="n">
        <f aca="false">(Model!$C$20/(1+B19)^Model!$C$13+Model!$C$14)/Model!$C$15</f>
        <v>113.738181885738</v>
      </c>
    </row>
    <row r="20" customFormat="false" ht="15" hidden="false" customHeight="false" outlineLevel="0" collapsed="false">
      <c r="A20" s="16"/>
      <c r="B20" s="17" t="n">
        <v>0.14</v>
      </c>
      <c r="C20" s="18" t="n">
        <f aca="false">(Model!$C$20/(1+B20)^Model!$C$13+Model!$C$14)/Model!$C$15</f>
        <v>109.929972800084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250</v>
      </c>
      <c r="C8" s="20" t="n">
        <v>500</v>
      </c>
      <c r="D8" s="20" t="n">
        <v>900</v>
      </c>
    </row>
    <row r="9" customFormat="false" ht="15" hidden="false" customHeight="false" outlineLevel="0" collapsed="false">
      <c r="A9" s="9" t="s">
        <v>24</v>
      </c>
      <c r="B9" s="11" t="n">
        <v>0.22</v>
      </c>
      <c r="C9" s="11" t="n">
        <v>0.28</v>
      </c>
      <c r="D9" s="11" t="n">
        <v>0.32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1" t="n">
        <v>20</v>
      </c>
      <c r="C11" s="21" t="n">
        <v>22</v>
      </c>
      <c r="D11" s="21" t="n">
        <v>25</v>
      </c>
    </row>
    <row r="12" customFormat="false" ht="15" hidden="false" customHeight="false" outlineLevel="0" collapsed="false">
      <c r="A12" s="9" t="s">
        <v>14</v>
      </c>
      <c r="B12" s="11" t="n">
        <v>0.12</v>
      </c>
      <c r="C12" s="11" t="n">
        <v>0.12</v>
      </c>
      <c r="D12" s="11" t="n">
        <v>0.12</v>
      </c>
    </row>
    <row r="13" customFormat="false" ht="15" hidden="false" customHeight="false" outlineLevel="0" collapsed="false">
      <c r="A13" s="9" t="s">
        <v>28</v>
      </c>
      <c r="B13" s="22" t="n">
        <v>4</v>
      </c>
      <c r="C13" s="22" t="n">
        <v>4</v>
      </c>
      <c r="D13" s="22" t="n">
        <v>4</v>
      </c>
    </row>
    <row r="14" customFormat="false" ht="15" hidden="false" customHeight="false" outlineLevel="0" collapsed="false">
      <c r="A14" s="9" t="s">
        <v>29</v>
      </c>
      <c r="B14" s="20" t="n">
        <v>51.1</v>
      </c>
      <c r="C14" s="20" t="n">
        <v>51.1</v>
      </c>
      <c r="D14" s="20" t="n">
        <v>51.1</v>
      </c>
    </row>
    <row r="15" customFormat="false" ht="15" hidden="false" customHeight="false" outlineLevel="0" collapsed="false">
      <c r="A15" s="9" t="s">
        <v>30</v>
      </c>
      <c r="B15" s="23" t="n">
        <v>13.57</v>
      </c>
      <c r="C15" s="23" t="n">
        <v>13.57</v>
      </c>
      <c r="D15" s="23" t="n">
        <v>13.57</v>
      </c>
    </row>
    <row r="17" customFormat="false" ht="19.5" hidden="false" customHeight="true" outlineLevel="0" collapsed="false">
      <c r="A17" s="5" t="s">
        <v>31</v>
      </c>
      <c r="B17" s="6"/>
      <c r="C17" s="6"/>
      <c r="D17" s="6"/>
      <c r="E17" s="6"/>
    </row>
    <row r="18" customFormat="false" ht="30" hidden="false" customHeight="true" outlineLevel="0" collapsed="false">
      <c r="A18" s="7"/>
      <c r="B18" s="8" t="s">
        <v>4</v>
      </c>
      <c r="C18" s="8" t="s">
        <v>5</v>
      </c>
      <c r="D18" s="8" t="s">
        <v>6</v>
      </c>
    </row>
    <row r="19" customFormat="false" ht="15" hidden="false" customHeight="false" outlineLevel="0" collapsed="false">
      <c r="A19" s="9" t="s">
        <v>32</v>
      </c>
      <c r="B19" s="24" t="n">
        <f aca="false">B8*B9*(1-B10)</f>
        <v>43.45</v>
      </c>
      <c r="C19" s="24" t="n">
        <f aca="false">C8*C9*(1-C10)</f>
        <v>110.6</v>
      </c>
      <c r="D19" s="24" t="n">
        <f aca="false">D8*D9*(1-D10)</f>
        <v>227.52</v>
      </c>
    </row>
    <row r="20" customFormat="false" ht="15" hidden="false" customHeight="false" outlineLevel="0" collapsed="false">
      <c r="A20" s="9" t="s">
        <v>33</v>
      </c>
      <c r="B20" s="24" t="n">
        <f aca="false">B19*B11</f>
        <v>869</v>
      </c>
      <c r="C20" s="24" t="n">
        <f aca="false">C19*C11</f>
        <v>2433.2</v>
      </c>
      <c r="D20" s="24" t="n">
        <f aca="false">D19*D11</f>
        <v>5688</v>
      </c>
    </row>
    <row r="21" customFormat="false" ht="15" hidden="false" customHeight="false" outlineLevel="0" collapsed="false">
      <c r="A21" s="9" t="s">
        <v>34</v>
      </c>
      <c r="B21" s="24" t="n">
        <f aca="false">B20/(1+B12)^B13</f>
        <v>552.265210133798</v>
      </c>
      <c r="C21" s="24" t="n">
        <f aca="false">C20/(1+C12)^C13</f>
        <v>1546.34258837464</v>
      </c>
      <c r="D21" s="24" t="n">
        <f aca="false">D20/(1+D12)^D13</f>
        <v>3614.82682996668</v>
      </c>
    </row>
    <row r="22" customFormat="false" ht="15" hidden="false" customHeight="false" outlineLevel="0" collapsed="false">
      <c r="A22" s="9" t="s">
        <v>35</v>
      </c>
      <c r="B22" s="24" t="n">
        <f aca="false">B21+B14</f>
        <v>603.365210133798</v>
      </c>
      <c r="C22" s="24" t="n">
        <f aca="false">C21+C14</f>
        <v>1597.44258837464</v>
      </c>
      <c r="D22" s="24" t="n">
        <f aca="false">D21+D14</f>
        <v>3665.92682996668</v>
      </c>
    </row>
    <row r="23" customFormat="false" ht="15" hidden="false" customHeight="false" outlineLevel="0" collapsed="false">
      <c r="A23" s="12" t="s">
        <v>15</v>
      </c>
      <c r="B23" s="13" t="n">
        <f aca="false">B22/B15</f>
        <v>44.4631695013853</v>
      </c>
      <c r="C23" s="13" t="n">
        <f aca="false">C22/C15</f>
        <v>117.718687426281</v>
      </c>
      <c r="D23" s="13" t="n">
        <f aca="false">D22/D15</f>
        <v>270.149361088186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2026-10-22T20:17:50Z</dcterms:created>
  <dc:creator>LDB Finance</dc:creator>
  <dc:description/>
  <dc:language>en-US</dc:language>
  <cp:lastModifiedBy/>
  <dcterms:modified xsi:type="dcterms:W3CDTF">2026-10-22T20:17:50Z</dcterms:modified>
  <cp:revision>0</cp:revision>
  <dc:subject/>
  <dc:title>SpaceX (SPCX)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