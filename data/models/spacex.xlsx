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<sst xmlns="http://schemas.openxmlformats.org/spreadsheetml/2006/main" count="46" uniqueCount="36">
  <si>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</si>
  <si>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SpaceX (SPCX)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</si>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</sst>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44.4631695013853</v>
      </c>
      <c r="C8" s="10" t="n">
        <f aca="false">Model!C23</f>
        <v>117.718687426281</v>
      </c>
      <c r="D8" s="10" t="n">
        <f aca="false">Model!D23</f>
        <v>270.149361088186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137.512476360533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-0.154133749396978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126.234955018002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121.880928982286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117.718687426281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113.738181885738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109.929972800084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43.45</v>
      </c>
      <c r="C19" s="24" t="n">
        <f aca="false">C8*C9*(1-C10)</f>
        <v>110.6</v>
      </c>
      <c r="D19" s="24" t="n">
        <f aca="false">D8*D9*(1-D10)</f>
        <v>227.52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869</v>
      </c>
      <c r="C20" s="24" t="n">
        <f aca="false">C19*C11</f>
        <v>2433.2</v>
      </c>
      <c r="D20" s="24" t="n">
        <f aca="false">D19*D11</f>
        <v>5688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552.265210133798</v>
      </c>
      <c r="C21" s="24" t="n">
        <f aca="false">C20/(1+C12)^C13</f>
        <v>1546.34258837464</v>
      </c>
      <c r="D21" s="24" t="n">
        <f aca="false">D20/(1+D12)^D13</f>
        <v>3614.82682996668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603.365210133798</v>
      </c>
      <c r="C22" s="24" t="n">
        <f aca="false">C21+C14</f>
        <v>1597.44258837464</v>
      </c>
      <c r="D22" s="24" t="n">
        <f aca="false">D21+D14</f>
        <v>3665.92682996668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44.4631695013853</v>
      </c>
      <c r="C23" s="13" t="n">
        <f aca="false">C22/C15</f>
        <v>117.718687426281</v>
      </c>
      <c r="D23" s="13" t="n">
        <f aca="false">D22/D15</f>
        <v>270.149361088186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