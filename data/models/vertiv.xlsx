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ase" sheetId="2" state="visible" r:id="rId4"/>
    <sheet name="Bear" sheetId="3" state="visible" r:id="rId5"/>
    <sheet name="Bul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<sst xmlns="http://schemas.openxmlformats.org/spreadsheetml/2006/main" count="214" uniqueCount="93">
  <si>
    <t xml:space="preserve">LDB FINANCE</t>
  </si>
  <si>
    <t xml:space="preserve">Vertiv (VRT)</t>
  </si>
  <si>
    <t xml:space="preserve">Ten-year discounted cash flow (free cash flow to the firm)  ·  Inputs in blue can be changed; everything else recalculates.</t>
  </si>
  <si>
    <t xml:space="preserve">DISCOUNT RATE (WACC)</t>
  </si>
  <si>
    <t xml:space="preserve">Risk-free rate (10-year Treasury)</t>
  </si>
  <si>
    <t xml:space="preserve">FRED, October 2026</t>
  </si>
  <si>
    <t xml:space="preserve">Equity risk premium</t>
  </si>
  <si>
    <t xml:space="preserve">Long-run U.S. premium</t>
  </si>
  <si>
    <t xml:space="preserve">Beta</t>
  </si>
  <si>
    <t xml:space="preserve">Measured against the S&amp;P 500</t>
  </si>
  <si>
    <t xml:space="preserve">Cost of equity = risk-free + beta x premium</t>
  </si>
  <si>
    <t xml:space="preserve">Share price ($)</t>
  </si>
  <si>
    <t xml:space="preserve">Price at writing</t>
  </si>
  <si>
    <t xml:space="preserve">Diluted shares (billions)</t>
  </si>
  <si>
    <t xml:space="preserve">Latest filing</t>
  </si>
  <si>
    <t xml:space="preserve">Market value of equity ($B)</t>
  </si>
  <si>
    <t xml:space="preserve">Debt ($B)</t>
  </si>
  <si>
    <t xml:space="preserve">Latest balance sheet</t>
  </si>
  <si>
    <t xml:space="preserve">Pre-tax cost of debt</t>
  </si>
  <si>
    <t xml:space="preserve">Tax rate on interest</t>
  </si>
  <si>
    <t xml:space="preserve">U.S. federal rate</t>
  </si>
  <si>
    <t xml:space="preserve">WACC</t>
  </si>
  <si>
    <t xml:space="preserve">SCENARIOS</t>
  </si>
  <si>
    <t xml:space="preserve">Bear</t>
  </si>
  <si>
    <t xml:space="preserve">Base</t>
  </si>
  <si>
    <t xml:space="preserve">Bull</t>
  </si>
  <si>
    <t xml:space="preserve">Value ($ per share)</t>
  </si>
  <si>
    <t xml:space="preserve">Probability</t>
  </si>
  <si>
    <t xml:space="preserve">Probability-weighted value ($ per share)</t>
  </si>
  <si>
    <t xml:space="preserve">Price at writing ($)</t>
  </si>
  <si>
    <t xml:space="preserve">Weighted value against the price</t>
  </si>
  <si>
    <t xml:space="preserve">SENSITIVITY</t>
  </si>
  <si>
    <t xml:space="preserve">Base case, repriced at</t>
  </si>
  <si>
    <t xml:space="preserve">Discount rate</t>
  </si>
  <si>
    <t xml:space="preserve">Value per share ($)</t>
  </si>
  <si>
    <t xml:space="preserve">Each row reprices the base case at that discount rate; the cash flows themselves do not change.</t>
  </si>
  <si>
    <t xml:space="preserve">ABOUT THIS WORKBOOK</t>
  </si>
  <si>
    <t xml:space="preserve">Blue cells are inputs; black cells are formulas; green cells link to another sheet. Change any blue cell and the whole model recalculates.</t>
  </si>
  <si>
    <t xml:space="preserve">Built from the model script https://github.com/ldiazbusquets/finance/blob/main/_source/models/vrt.py, and checked against it each time the file is made.</t>
  </si>
  <si>
    <t xml:space="preserve">For education only. Not investment advice.</t>
  </si>
  <si>
    <t xml:space="preserve">Base case: ten-year free cash flow to the firm, values in $ billions</t>
  </si>
  <si>
    <t xml:space="preserve">INPUTS</t>
  </si>
  <si>
    <t xml:space="preserve">Base revenue ($B)</t>
  </si>
  <si>
    <t xml:space="preserve">2026 guidance midpoint, $14.0B</t>
  </si>
  <si>
    <t xml:space="preserve">Revenue growth, year 1</t>
  </si>
  <si>
    <t xml:space="preserve">Revenue growth, year 2</t>
  </si>
  <si>
    <t xml:space="preserve">Then fades in a straight line to terminal growth by year 10</t>
  </si>
  <si>
    <t xml:space="preserve">Terminal growth</t>
  </si>
  <si>
    <t xml:space="preserve">Operating margin, year 1</t>
  </si>
  <si>
    <t xml:space="preserve">Operating margin, target</t>
  </si>
  <si>
    <t xml:space="preserve">Years to reach the target margin</t>
  </si>
  <si>
    <t xml:space="preserve">Tax rate</t>
  </si>
  <si>
    <t xml:space="preserve">Sales to capital (new revenue per $1 invested)</t>
  </si>
  <si>
    <t xml:space="preserve">Reinvestment = revenue growth / sales to capital</t>
  </si>
  <si>
    <t xml:space="preserve">Return on new capital, after year 10</t>
  </si>
  <si>
    <t xml:space="preserve">Sets reinvestment in the terminal value</t>
  </si>
  <si>
    <t xml:space="preserve">Discount rate shift for this case</t>
  </si>
  <si>
    <t xml:space="preserve">Added to the WACC on the Summary sheet</t>
  </si>
  <si>
    <t xml:space="preserve">Net cash ($B, negative = net debt)</t>
  </si>
  <si>
    <t xml:space="preserve">PROJECTION</t>
  </si>
  <si>
    <t xml:space="preserve">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</si>
  <si>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</si>
  <si>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</si>
  <si>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</si>
  <si>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</si>
  <si>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</si>
  <si>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</si>
  <si>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</si>
  <si>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</si>
  <si>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</si>
  <si>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</si>
  <si>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Year number</t>
  </si>
  <si>
    <t xml:space="preserve">Planned heavy investment ($B)</t>
  </si>
  <si>
    <t xml:space="preserve">Years with a capex plan; blank = use sales to capital</t>
  </si>
  <si>
    <t xml:space="preserve">Revenue growth</t>
  </si>
  <si>
    <t xml:space="preserve">Revenue ($B)</t>
  </si>
  <si>
    <t xml:space="preserve">Operating margin</t>
  </si>
  <si>
    <t xml:space="preserve">Operating income ($B)</t>
  </si>
  <si>
    <t xml:space="preserve">After-tax operating income ($B)</t>
  </si>
  <si>
    <t xml:space="preserve">Reinvestment ($B)</t>
  </si>
  <si>
    <t xml:space="preserve">Free cash flow to the firm ($B)</t>
  </si>
  <si>
    <t xml:space="preserve">Discount factor (mid-year)</t>
  </si>
  <si>
    <t xml:space="preserve">Present value ($B)</t>
  </si>
  <si>
    <t xml:space="preserve">BRIDGE TO VALUE PER SHARE</t>
  </si>
  <si>
    <t xml:space="preserve">Present value of ten years of cash flow ($B)</t>
  </si>
  <si>
    <t xml:space="preserve">Year-11 after-tax operating income ($B)</t>
  </si>
  <si>
    <t xml:space="preserve">Terminal value ($B)</t>
  </si>
  <si>
    <t xml:space="preserve">NOPAT11 x (1 - g / return on new capital) / (discount rate - g)</t>
  </si>
  <si>
    <t xml:space="preserve">Present value of terminal value ($B)</t>
  </si>
  <si>
    <t xml:space="preserve">Enterprise value ($B)</t>
  </si>
  <si>
    <t xml:space="preserve">Equity value ($B)</t>
  </si>
  <si>
    <t xml:space="preserve">Bear case: ten-year free cash flow to the firm, values in $ billions</t>
  </si>
  <si>
    <t xml:space="preserve">Bull case: ten-year free cash flow to the firm, values in $ billions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</si>
</sst>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;\(0.00%\);\-"/>
    <numFmt numFmtId="166" formatCode="0.00"/>
    <numFmt numFmtId="167" formatCode="\$#,##0.00;&quot;($&quot;#,##0.00\);\-"/>
    <numFmt numFmtId="168" formatCode="0.0000"/>
    <numFmt numFmtId="169" formatCode="#,##0.0;\(#,##0.0\);\-"/>
    <numFmt numFmtId="170" formatCode="0.0%;\(0.0%\);\-"/>
    <numFmt numFmtId="171" formatCode="0"/>
    <numFmt numFmtId="172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C58B5C"/>
      <name val="Arial"/>
      <family val="0"/>
      <charset val="1"/>
    </font>
    <font>
      <b val="true"/>
      <sz val="16"/>
      <color rgb="FFF4EDE4"/>
      <name val="Arial"/>
      <family val="0"/>
      <charset val="1"/>
    </font>
    <font>
      <sz val="9"/>
      <color rgb="FFA8998A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A6E62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4EDE4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0A08"/>
        <bgColor rgb="FF000000"/>
      </patternFill>
    </fill>
    <fill>
      <patternFill patternType="solid">
        <fgColor rgb="FF1B1511"/>
        <bgColor rgb="FF0C0A08"/>
      </patternFill>
    </fill>
    <fill>
      <patternFill patternType="solid">
        <fgColor rgb="FFFFF8E7"/>
        <bgColor rgb="FFF4EDE4"/>
      </patternFill>
    </fill>
    <fill>
      <patternFill patternType="solid">
        <fgColor rgb="FFF3E3D3"/>
        <bgColor rgb="FFE6DDD2"/>
      </patternFill>
    </fill>
    <fill>
      <patternFill patternType="solid">
        <fgColor rgb="FF2A211A"/>
        <bgColor rgb="FF1B1511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DD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8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E62"/>
      <rgbColor rgb="FF9999FF"/>
      <rgbColor rgb="FF993366"/>
      <rgbColor rgb="FFF4EDE4"/>
      <rgbColor rgb="FFCCFFFF"/>
      <rgbColor rgb="FF660066"/>
      <rgbColor rgb="FFC58B5C"/>
      <rgbColor rgb="FF0066CC"/>
      <rgbColor rgb="FFE6D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3D3"/>
      <rgbColor rgb="FF3366FF"/>
      <rgbColor rgb="FF33CCCC"/>
      <rgbColor rgb="FF99CC00"/>
      <rgbColor rgb="FFFFCC00"/>
      <rgbColor rgb="FFFF9900"/>
      <rgbColor rgb="FFFF6600"/>
      <rgbColor rgb="FF666699"/>
      <rgbColor rgb="FFA8998A"/>
      <rgbColor rgb="FF003366"/>
      <rgbColor rgb="FF339966"/>
      <rgbColor rgb="FF0C0A08"/>
      <rgbColor rgb="FF1B1511"/>
      <rgbColor rgb="FF993300"/>
      <rgbColor rgb="FF993366"/>
      <rgbColor rgb="FF333399"/>
      <rgbColor rgb="FF2A21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3</v>
      </c>
      <c r="B6" s="6"/>
      <c r="C6" s="6"/>
      <c r="D6" s="6"/>
      <c r="E6" s="6"/>
    </row>
    <row r="7" customFormat="false" ht="15" hidden="false" customHeight="false" outlineLevel="0" collapsed="false">
      <c r="A7" s="7" t="s">
        <v>4</v>
      </c>
      <c r="B7" s="8" t="n">
        <v>0.0515</v>
      </c>
      <c r="E7" s="9" t="s">
        <v>5</v>
      </c>
    </row>
    <row r="8" customFormat="false" ht="15" hidden="false" customHeight="false" outlineLevel="0" collapsed="false">
      <c r="A8" s="7" t="s">
        <v>6</v>
      </c>
      <c r="B8" s="8" t="n">
        <v>0.045</v>
      </c>
      <c r="E8" s="9" t="s">
        <v>7</v>
      </c>
    </row>
    <row r="9" customFormat="false" ht="15" hidden="false" customHeight="false" outlineLevel="0" collapsed="false">
      <c r="A9" s="7" t="s">
        <v>8</v>
      </c>
      <c r="B9" s="10" t="n">
        <v>1.83</v>
      </c>
      <c r="E9" s="9" t="s">
        <v>9</v>
      </c>
    </row>
    <row r="10" customFormat="false" ht="15" hidden="false" customHeight="false" outlineLevel="0" collapsed="false">
      <c r="A10" s="7" t="s">
        <v>10</v>
      </c>
      <c r="B10" s="11" t="n">
        <f aca="false">B7+B9*B8</f>
        <v>0.13385</v>
      </c>
    </row>
    <row r="11" customFormat="false" ht="15" hidden="false" customHeight="false" outlineLevel="0" collapsed="false">
      <c r="A11" s="7" t="s">
        <v>11</v>
      </c>
      <c r="B11" s="12" t="n">
        <v>203.56</v>
      </c>
      <c r="E11" s="9" t="s">
        <v>12</v>
      </c>
    </row>
    <row r="12" customFormat="false" ht="15" hidden="false" customHeight="false" outlineLevel="0" collapsed="false">
      <c r="A12" s="7" t="s">
        <v>13</v>
      </c>
      <c r="B12" s="13" t="n">
        <v>0.393</v>
      </c>
      <c r="E12" s="9" t="s">
        <v>14</v>
      </c>
    </row>
    <row r="13" customFormat="false" ht="15" hidden="false" customHeight="false" outlineLevel="0" collapsed="false">
      <c r="A13" s="7" t="s">
        <v>15</v>
      </c>
      <c r="B13" s="14" t="n">
        <f aca="false">B11*B12</f>
        <v>79.99908</v>
      </c>
    </row>
    <row r="14" customFormat="false" ht="15" hidden="false" customHeight="false" outlineLevel="0" collapsed="false">
      <c r="A14" s="7" t="s">
        <v>16</v>
      </c>
      <c r="B14" s="15" t="n">
        <v>2.94</v>
      </c>
      <c r="E14" s="9" t="s">
        <v>17</v>
      </c>
    </row>
    <row r="15" customFormat="false" ht="15" hidden="false" customHeight="false" outlineLevel="0" collapsed="false">
      <c r="A15" s="7" t="s">
        <v>18</v>
      </c>
      <c r="B15" s="8" t="n">
        <v>0.055</v>
      </c>
    </row>
    <row r="16" customFormat="false" ht="15" hidden="false" customHeight="false" outlineLevel="0" collapsed="false">
      <c r="A16" s="7" t="s">
        <v>19</v>
      </c>
      <c r="B16" s="16" t="n">
        <v>0.21</v>
      </c>
      <c r="E16" s="9" t="s">
        <v>20</v>
      </c>
    </row>
    <row r="17" customFormat="false" ht="15" hidden="false" customHeight="false" outlineLevel="0" collapsed="false">
      <c r="A17" s="17" t="s">
        <v>21</v>
      </c>
      <c r="B17" s="18" t="n">
        <f aca="false">B13/(B13+B14)*B10+B14/(B13+B14)*B15*(1-B16)</f>
        <v>0.130645527512483</v>
      </c>
    </row>
    <row r="19" customFormat="false" ht="19.5" hidden="false" customHeight="true" outlineLevel="0" collapsed="false">
      <c r="A19" s="5" t="s">
        <v>22</v>
      </c>
      <c r="B19" s="6"/>
      <c r="C19" s="6"/>
      <c r="D19" s="6"/>
      <c r="E19" s="6"/>
    </row>
    <row r="20" customFormat="false" ht="30" hidden="false" customHeight="true" outlineLevel="0" collapsed="false">
      <c r="A20" s="19"/>
      <c r="B20" s="20" t="s">
        <v>23</v>
      </c>
      <c r="C20" s="20" t="s">
        <v>24</v>
      </c>
      <c r="D20" s="20" t="s">
        <v>25</v>
      </c>
    </row>
    <row r="21" customFormat="false" ht="15" hidden="false" customHeight="false" outlineLevel="0" collapsed="false">
      <c r="A21" s="7" t="s">
        <v>26</v>
      </c>
      <c r="B21" s="21" t="n">
        <f aca="false">Bear!$B$43</f>
        <v>65.3448912429652</v>
      </c>
      <c r="C21" s="21" t="n">
        <f aca="false">Base!$B$43</f>
        <v>116.917496050189</v>
      </c>
      <c r="D21" s="21" t="n">
        <f aca="false">Bull!$B$43</f>
        <v>187.54993490496</v>
      </c>
    </row>
    <row r="22" customFormat="false" ht="15" hidden="false" customHeight="false" outlineLevel="0" collapsed="false">
      <c r="A22" s="7" t="s">
        <v>27</v>
      </c>
      <c r="B22" s="16" t="n">
        <v>0.25</v>
      </c>
      <c r="C22" s="16" t="n">
        <v>0.5</v>
      </c>
      <c r="D22" s="16" t="n">
        <v>0.25</v>
      </c>
    </row>
    <row r="23" customFormat="false" ht="15" hidden="false" customHeight="false" outlineLevel="0" collapsed="false">
      <c r="A23" s="17" t="s">
        <v>28</v>
      </c>
      <c r="C23" s="22" t="n">
        <f aca="false">SUMPRODUCT(B21:D21,B22:D22)</f>
        <v>121.682454562076</v>
      </c>
    </row>
    <row r="24" customFormat="false" ht="15" hidden="false" customHeight="false" outlineLevel="0" collapsed="false">
      <c r="A24" s="7" t="s">
        <v>29</v>
      </c>
      <c r="C24" s="12" t="n">
        <v>203.56</v>
      </c>
    </row>
    <row r="25" customFormat="false" ht="15" hidden="false" customHeight="false" outlineLevel="0" collapsed="false">
      <c r="A25" s="7" t="s">
        <v>30</v>
      </c>
      <c r="C25" s="23" t="n">
        <f aca="false">C23/C24-1</f>
        <v>-0.40222806758658</v>
      </c>
    </row>
    <row r="27" customFormat="false" ht="19.5" hidden="false" customHeight="true" outlineLevel="0" collapsed="false">
      <c r="A27" s="5" t="s">
        <v>31</v>
      </c>
      <c r="B27" s="6"/>
      <c r="C27" s="6"/>
      <c r="D27" s="6"/>
      <c r="E27" s="6"/>
    </row>
    <row r="28" customFormat="false" ht="30" hidden="false" customHeight="true" outlineLevel="0" collapsed="false">
      <c r="A28" s="19" t="s">
        <v>32</v>
      </c>
      <c r="B28" s="20" t="s">
        <v>33</v>
      </c>
      <c r="C28" s="20" t="s">
        <v>34</v>
      </c>
    </row>
    <row r="29" customFormat="false" ht="15" hidden="false" customHeight="false" outlineLevel="0" collapsed="false">
      <c r="A29" s="24"/>
      <c r="B29" s="25" t="n">
        <v>0.09</v>
      </c>
      <c r="C29" s="26" t="n">
        <f aca="false">(SUMPRODUCT(Base!$B$32:$K$32,1/(1+B29)^(Base!$B$24:$K$24-0.5))+Base!$K$29*(1+Base!$B$10)*(1-Base!$B$14)*(1-Base!$B$10/Base!$B$16)/(B29-Base!$B$10)/(1+B29)^9.5+Base!$B$19)/Base!$B$20</f>
        <v>204.829298055574</v>
      </c>
    </row>
    <row r="30" customFormat="false" ht="15" hidden="false" customHeight="false" outlineLevel="0" collapsed="false">
      <c r="A30" s="24"/>
      <c r="B30" s="25" t="n">
        <v>0.1</v>
      </c>
      <c r="C30" s="26" t="n">
        <f aca="false">(SUMPRODUCT(Base!$B$32:$K$32,1/(1+B30)^(Base!$B$24:$K$24-0.5))+Base!$K$29*(1+Base!$B$10)*(1-Base!$B$14)*(1-Base!$B$10/Base!$B$16)/(B30-Base!$B$10)/(1+B30)^9.5+Base!$B$19)/Base!$B$20</f>
        <v>173.59965798219</v>
      </c>
    </row>
    <row r="31" customFormat="false" ht="15" hidden="false" customHeight="false" outlineLevel="0" collapsed="false">
      <c r="A31" s="24"/>
      <c r="B31" s="25" t="n">
        <v>0.11</v>
      </c>
      <c r="C31" s="26" t="n">
        <f aca="false">(SUMPRODUCT(Base!$B$32:$K$32,1/(1+B31)^(Base!$B$24:$K$24-0.5))+Base!$K$29*(1+Base!$B$10)*(1-Base!$B$14)*(1-Base!$B$10/Base!$B$16)/(B31-Base!$B$10)/(1+B31)^9.5+Base!$B$19)/Base!$B$20</f>
        <v>150.255039975881</v>
      </c>
    </row>
    <row r="32" customFormat="false" ht="15" hidden="false" customHeight="false" outlineLevel="0" collapsed="false">
      <c r="A32" s="24"/>
      <c r="B32" s="25" t="n">
        <v>0.12</v>
      </c>
      <c r="C32" s="26" t="n">
        <f aca="false">(SUMPRODUCT(Base!$B$32:$K$32,1/(1+B32)^(Base!$B$24:$K$24-0.5))+Base!$K$29*(1+Base!$B$10)*(1-Base!$B$14)*(1-Base!$B$10/Base!$B$16)/(B32-Base!$B$10)/(1+B32)^9.5+Base!$B$19)/Base!$B$20</f>
        <v>132.164007534494</v>
      </c>
    </row>
    <row r="33" customFormat="false" ht="15" hidden="false" customHeight="false" outlineLevel="0" collapsed="false">
      <c r="A33" s="9" t="s">
        <v>35</v>
      </c>
    </row>
    <row r="35" customFormat="false" ht="19.5" hidden="false" customHeight="true" outlineLevel="0" collapsed="false">
      <c r="A35" s="5" t="s">
        <v>36</v>
      </c>
      <c r="B35" s="6"/>
      <c r="C35" s="6"/>
      <c r="D35" s="6"/>
      <c r="E35" s="6"/>
    </row>
    <row r="36" customFormat="false" ht="15" hidden="false" customHeight="false" outlineLevel="0" collapsed="false">
      <c r="A36" s="9" t="s">
        <v>37</v>
      </c>
    </row>
    <row r="37" customFormat="false" ht="15" hidden="false" customHeight="false" outlineLevel="0" collapsed="false">
      <c r="A37" s="9" t="s">
        <v>38</v>
      </c>
    </row>
    <row r="38" customFormat="false" ht="15" hidden="false" customHeight="false" outlineLevel="0" collapsed="false">
      <c r="A38" s="9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42</v>
      </c>
      <c r="B7" s="15" t="n">
        <v>14</v>
      </c>
      <c r="C7" s="9" t="s">
        <v>43</v>
      </c>
    </row>
    <row r="8" customFormat="false" ht="15" hidden="false" customHeight="false" outlineLevel="0" collapsed="false">
      <c r="A8" s="7" t="s">
        <v>44</v>
      </c>
      <c r="B8" s="16" t="n">
        <v>0.25</v>
      </c>
    </row>
    <row r="9" customFormat="false" ht="15" hidden="false" customHeight="false" outlineLevel="0" collapsed="false">
      <c r="A9" s="7" t="s">
        <v>45</v>
      </c>
      <c r="B9" s="16" t="n">
        <v>0.16</v>
      </c>
      <c r="C9" s="9" t="s">
        <v>46</v>
      </c>
    </row>
    <row r="10" customFormat="false" ht="15" hidden="false" customHeight="false" outlineLevel="0" collapsed="false">
      <c r="A10" s="7" t="s">
        <v>47</v>
      </c>
      <c r="B10" s="16" t="n">
        <v>0.03</v>
      </c>
    </row>
    <row r="11" customFormat="false" ht="15" hidden="false" customHeight="false" outlineLevel="0" collapsed="false">
      <c r="A11" s="7" t="s">
        <v>48</v>
      </c>
      <c r="B11" s="16" t="n">
        <v>0.225</v>
      </c>
    </row>
    <row r="12" customFormat="false" ht="15" hidden="false" customHeight="false" outlineLevel="0" collapsed="false">
      <c r="A12" s="7" t="s">
        <v>49</v>
      </c>
      <c r="B12" s="16" t="n">
        <v>0.245</v>
      </c>
    </row>
    <row r="13" customFormat="false" ht="15" hidden="false" customHeight="false" outlineLevel="0" collapsed="false">
      <c r="A13" s="7" t="s">
        <v>50</v>
      </c>
      <c r="B13" s="27" t="n">
        <v>3</v>
      </c>
    </row>
    <row r="14" customFormat="false" ht="15" hidden="false" customHeight="false" outlineLevel="0" collapsed="false">
      <c r="A14" s="7" t="s">
        <v>51</v>
      </c>
      <c r="B14" s="16" t="n">
        <v>0.21</v>
      </c>
    </row>
    <row r="15" customFormat="false" ht="15" hidden="false" customHeight="false" outlineLevel="0" collapsed="false">
      <c r="A15" s="7" t="s">
        <v>52</v>
      </c>
      <c r="B15" s="28" t="n">
        <v>3</v>
      </c>
      <c r="C15" s="9" t="s">
        <v>53</v>
      </c>
    </row>
    <row r="16" customFormat="false" ht="15" hidden="false" customHeight="false" outlineLevel="0" collapsed="false">
      <c r="A16" s="7" t="s">
        <v>54</v>
      </c>
      <c r="B16" s="16" t="n">
        <v>0.25</v>
      </c>
      <c r="C16" s="9" t="s">
        <v>55</v>
      </c>
    </row>
    <row r="17" customFormat="false" ht="15" hidden="false" customHeight="false" outlineLevel="0" collapsed="false">
      <c r="A17" s="7" t="s">
        <v>56</v>
      </c>
      <c r="B17" s="8" t="n">
        <v>0</v>
      </c>
      <c r="C17" s="9" t="s">
        <v>57</v>
      </c>
    </row>
    <row r="18" customFormat="false" ht="15" hidden="false" customHeight="false" outlineLevel="0" collapsed="false">
      <c r="A18" s="7" t="s">
        <v>33</v>
      </c>
      <c r="B18" s="29" t="n">
        <f aca="false">Summary!$B$17+B17</f>
        <v>0.130645527512483</v>
      </c>
    </row>
    <row r="19" customFormat="false" ht="15" hidden="false" customHeight="false" outlineLevel="0" collapsed="false">
      <c r="A19" s="7" t="s">
        <v>58</v>
      </c>
      <c r="B19" s="15" t="n">
        <v>-0.13</v>
      </c>
      <c r="C19" s="9" t="s">
        <v>17</v>
      </c>
    </row>
    <row r="20" customFormat="false" ht="15" hidden="false" customHeight="false" outlineLevel="0" collapsed="false">
      <c r="A20" s="7" t="s">
        <v>13</v>
      </c>
      <c r="B20" s="13" t="n">
        <v>0.393</v>
      </c>
      <c r="C20" s="9" t="s">
        <v>14</v>
      </c>
    </row>
    <row r="22" customFormat="false" ht="19.5" hidden="false" customHeight="true" outlineLevel="0" collapsed="false">
      <c r="A22" s="5" t="s">
        <v>59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30" hidden="false" customHeight="true" outlineLevel="0" collapsed="false">
      <c r="A23" s="19" t="s">
        <v>60</v>
      </c>
      <c r="B23" s="20" t="s">
        <v>61</v>
      </c>
      <c r="C23" s="20" t="s">
        <v>62</v>
      </c>
      <c r="D23" s="20" t="s">
        <v>63</v>
      </c>
      <c r="E23" s="20" t="s">
        <v>64</v>
      </c>
      <c r="F23" s="20" t="s">
        <v>65</v>
      </c>
      <c r="G23" s="20" t="s">
        <v>66</v>
      </c>
      <c r="H23" s="20" t="s">
        <v>67</v>
      </c>
      <c r="I23" s="20" t="s">
        <v>68</v>
      </c>
      <c r="J23" s="20" t="s">
        <v>69</v>
      </c>
      <c r="K23" s="20" t="s">
        <v>70</v>
      </c>
    </row>
    <row r="24" customFormat="false" ht="15" hidden="false" customHeight="false" outlineLevel="0" collapsed="false">
      <c r="A24" s="7" t="s">
        <v>71</v>
      </c>
      <c r="B24" s="30" t="n">
        <v>1</v>
      </c>
      <c r="C24" s="30" t="n">
        <v>2</v>
      </c>
      <c r="D24" s="30" t="n">
        <v>3</v>
      </c>
      <c r="E24" s="30" t="n">
        <v>4</v>
      </c>
      <c r="F24" s="30" t="n">
        <v>5</v>
      </c>
      <c r="G24" s="30" t="n">
        <v>6</v>
      </c>
      <c r="H24" s="30" t="n">
        <v>7</v>
      </c>
      <c r="I24" s="30" t="n">
        <v>8</v>
      </c>
      <c r="J24" s="30" t="n">
        <v>9</v>
      </c>
      <c r="K24" s="30" t="n">
        <v>10</v>
      </c>
    </row>
    <row r="25" customFormat="false" ht="15" hidden="false" customHeight="false" outlineLevel="0" collapsed="false">
      <c r="A25" s="7" t="s">
        <v>72</v>
      </c>
      <c r="L25" s="9" t="s">
        <v>73</v>
      </c>
    </row>
    <row r="26" customFormat="false" ht="15" hidden="false" customHeight="false" outlineLevel="0" collapsed="false">
      <c r="A26" s="7" t="s">
        <v>74</v>
      </c>
      <c r="B26" s="23" t="n">
        <f aca="false">$B$8</f>
        <v>0.25</v>
      </c>
      <c r="C26" s="23" t="n">
        <f aca="false">$B$9</f>
        <v>0.16</v>
      </c>
      <c r="D26" s="23" t="n">
        <f aca="false">$B$9+($B$10-$B$9)*(D24-2)/8</f>
        <v>0.14375</v>
      </c>
      <c r="E26" s="23" t="n">
        <f aca="false">$B$9+($B$10-$B$9)*(E24-2)/8</f>
        <v>0.1275</v>
      </c>
      <c r="F26" s="23" t="n">
        <f aca="false">$B$9+($B$10-$B$9)*(F24-2)/8</f>
        <v>0.11125</v>
      </c>
      <c r="G26" s="23" t="n">
        <f aca="false">$B$9+($B$10-$B$9)*(G24-2)/8</f>
        <v>0.095</v>
      </c>
      <c r="H26" s="23" t="n">
        <f aca="false">$B$9+($B$10-$B$9)*(H24-2)/8</f>
        <v>0.07875</v>
      </c>
      <c r="I26" s="23" t="n">
        <f aca="false">$B$9+($B$10-$B$9)*(I24-2)/8</f>
        <v>0.0625</v>
      </c>
      <c r="J26" s="23" t="n">
        <f aca="false">$B$9+($B$10-$B$9)*(J24-2)/8</f>
        <v>0.04625</v>
      </c>
      <c r="K26" s="23" t="n">
        <f aca="false">$B$9+($B$10-$B$9)*(K24-2)/8</f>
        <v>0.03</v>
      </c>
    </row>
    <row r="27" customFormat="false" ht="15" hidden="false" customHeight="false" outlineLevel="0" collapsed="false">
      <c r="A27" s="7" t="s">
        <v>75</v>
      </c>
      <c r="B27" s="14" t="n">
        <f aca="false">$B$7*(1+B26)</f>
        <v>17.5</v>
      </c>
      <c r="C27" s="14" t="n">
        <f aca="false">B27*(1+C26)</f>
        <v>20.3</v>
      </c>
      <c r="D27" s="14" t="n">
        <f aca="false">C27*(1+D26)</f>
        <v>23.218125</v>
      </c>
      <c r="E27" s="14" t="n">
        <f aca="false">D27*(1+E26)</f>
        <v>26.1784359375</v>
      </c>
      <c r="F27" s="14" t="n">
        <f aca="false">E27*(1+F26)</f>
        <v>29.0907869355469</v>
      </c>
      <c r="G27" s="14" t="n">
        <f aca="false">F27*(1+G26)</f>
        <v>31.8544116944238</v>
      </c>
      <c r="H27" s="14" t="n">
        <f aca="false">G27*(1+H26)</f>
        <v>34.3629466153597</v>
      </c>
      <c r="I27" s="14" t="n">
        <f aca="false">H27*(1+I26)</f>
        <v>36.5106307788197</v>
      </c>
      <c r="J27" s="14" t="n">
        <f aca="false">I27*(1+J26)</f>
        <v>38.1992474523401</v>
      </c>
      <c r="K27" s="14" t="n">
        <f aca="false">J27*(1+K26)</f>
        <v>39.3452248759103</v>
      </c>
    </row>
    <row r="28" customFormat="false" ht="15" hidden="false" customHeight="false" outlineLevel="0" collapsed="false">
      <c r="A28" s="7" t="s">
        <v>76</v>
      </c>
      <c r="B28" s="23" t="n">
        <f aca="false">$B$11+($B$12-$B$11)*MIN(1,B24/$B$13)</f>
        <v>0.231666666666667</v>
      </c>
      <c r="C28" s="23" t="n">
        <f aca="false">$B$11+($B$12-$B$11)*MIN(1,C24/$B$13)</f>
        <v>0.238333333333333</v>
      </c>
      <c r="D28" s="23" t="n">
        <f aca="false">$B$11+($B$12-$B$11)*MIN(1,D24/$B$13)</f>
        <v>0.245</v>
      </c>
      <c r="E28" s="23" t="n">
        <f aca="false">$B$11+($B$12-$B$11)*MIN(1,E24/$B$13)</f>
        <v>0.245</v>
      </c>
      <c r="F28" s="23" t="n">
        <f aca="false">$B$11+($B$12-$B$11)*MIN(1,F24/$B$13)</f>
        <v>0.245</v>
      </c>
      <c r="G28" s="23" t="n">
        <f aca="false">$B$11+($B$12-$B$11)*MIN(1,G24/$B$13)</f>
        <v>0.245</v>
      </c>
      <c r="H28" s="23" t="n">
        <f aca="false">$B$11+($B$12-$B$11)*MIN(1,H24/$B$13)</f>
        <v>0.245</v>
      </c>
      <c r="I28" s="23" t="n">
        <f aca="false">$B$11+($B$12-$B$11)*MIN(1,I24/$B$13)</f>
        <v>0.245</v>
      </c>
      <c r="J28" s="23" t="n">
        <f aca="false">$B$11+($B$12-$B$11)*MIN(1,J24/$B$13)</f>
        <v>0.245</v>
      </c>
      <c r="K28" s="23" t="n">
        <f aca="false">$B$11+($B$12-$B$11)*MIN(1,K24/$B$13)</f>
        <v>0.245</v>
      </c>
    </row>
    <row r="29" customFormat="false" ht="15" hidden="false" customHeight="false" outlineLevel="0" collapsed="false">
      <c r="A29" s="7" t="s">
        <v>77</v>
      </c>
      <c r="B29" s="14" t="n">
        <f aca="false">B27*B28</f>
        <v>4.05416666666667</v>
      </c>
      <c r="C29" s="14" t="n">
        <f aca="false">C27*C28</f>
        <v>4.83816666666667</v>
      </c>
      <c r="D29" s="14" t="n">
        <f aca="false">D27*D28</f>
        <v>5.688440625</v>
      </c>
      <c r="E29" s="14" t="n">
        <f aca="false">E27*E28</f>
        <v>6.4137168046875</v>
      </c>
      <c r="F29" s="14" t="n">
        <f aca="false">F27*F28</f>
        <v>7.12724279920898</v>
      </c>
      <c r="G29" s="14" t="n">
        <f aca="false">G27*G28</f>
        <v>7.80433086513384</v>
      </c>
      <c r="H29" s="14" t="n">
        <f aca="false">H27*H28</f>
        <v>8.41892192076313</v>
      </c>
      <c r="I29" s="14" t="n">
        <f aca="false">I27*I28</f>
        <v>8.94510454081082</v>
      </c>
      <c r="J29" s="14" t="n">
        <f aca="false">J27*J28</f>
        <v>9.35881562582332</v>
      </c>
      <c r="K29" s="14" t="n">
        <f aca="false">K27*K28</f>
        <v>9.63958009459802</v>
      </c>
    </row>
    <row r="30" customFormat="false" ht="15" hidden="false" customHeight="false" outlineLevel="0" collapsed="false">
      <c r="A30" s="7" t="s">
        <v>78</v>
      </c>
      <c r="B30" s="14" t="n">
        <f aca="false">B29*(1-$B$14)</f>
        <v>3.20279166666667</v>
      </c>
      <c r="C30" s="14" t="n">
        <f aca="false">C29*(1-$B$14)</f>
        <v>3.82215166666667</v>
      </c>
      <c r="D30" s="14" t="n">
        <f aca="false">D29*(1-$B$14)</f>
        <v>4.49386809375</v>
      </c>
      <c r="E30" s="14" t="n">
        <f aca="false">E29*(1-$B$14)</f>
        <v>5.06683627570313</v>
      </c>
      <c r="F30" s="14" t="n">
        <f aca="false">F29*(1-$B$14)</f>
        <v>5.6305218113751</v>
      </c>
      <c r="G30" s="14" t="n">
        <f aca="false">G29*(1-$B$14)</f>
        <v>6.16542138345573</v>
      </c>
      <c r="H30" s="14" t="n">
        <f aca="false">H29*(1-$B$14)</f>
        <v>6.65094831740287</v>
      </c>
      <c r="I30" s="14" t="n">
        <f aca="false">I29*(1-$B$14)</f>
        <v>7.06663258724055</v>
      </c>
      <c r="J30" s="14" t="n">
        <f aca="false">J29*(1-$B$14)</f>
        <v>7.39346434440042</v>
      </c>
      <c r="K30" s="14" t="n">
        <f aca="false">K29*(1-$B$14)</f>
        <v>7.61526827473244</v>
      </c>
    </row>
    <row r="31" customFormat="false" ht="15" hidden="false" customHeight="false" outlineLevel="0" collapsed="false">
      <c r="A31" s="7" t="s">
        <v>79</v>
      </c>
      <c r="B31" s="14" t="n">
        <f aca="false">IF(ISNUMBER(B25),B25,(B27-$B$7)/$B$15)</f>
        <v>1.16666666666667</v>
      </c>
      <c r="C31" s="14" t="n">
        <f aca="false">IF(ISNUMBER(C25),C25,(C27-B27)/$B$15)</f>
        <v>0.933333333333332</v>
      </c>
      <c r="D31" s="14" t="n">
        <f aca="false">IF(ISNUMBER(D25),D25,(D27-C27)/$B$15)</f>
        <v>0.972708333333333</v>
      </c>
      <c r="E31" s="14" t="n">
        <f aca="false">IF(ISNUMBER(E25),E25,(E27-D27)/$B$15)</f>
        <v>0.986770312499999</v>
      </c>
      <c r="F31" s="14" t="n">
        <f aca="false">IF(ISNUMBER(F25),F25,(F27-E27)/$B$15)</f>
        <v>0.970783666015625</v>
      </c>
      <c r="G31" s="14" t="n">
        <f aca="false">IF(ISNUMBER(G25),G25,(G27-F27)/$B$15)</f>
        <v>0.921208252958984</v>
      </c>
      <c r="H31" s="14" t="n">
        <f aca="false">IF(ISNUMBER(H25),H25,(H27-G27)/$B$15)</f>
        <v>0.836178306978625</v>
      </c>
      <c r="I31" s="14" t="n">
        <f aca="false">IF(ISNUMBER(I25),I25,(I27-H27)/$B$15)</f>
        <v>0.715894721153326</v>
      </c>
      <c r="J31" s="14" t="n">
        <f aca="false">IF(ISNUMBER(J25),J25,(J27-I27)/$B$15)</f>
        <v>0.562872224506802</v>
      </c>
      <c r="K31" s="14" t="n">
        <f aca="false">IF(ISNUMBER(K25),K25,(K27-J27)/$B$15)</f>
        <v>0.3819924745234</v>
      </c>
    </row>
    <row r="32" customFormat="false" ht="15" hidden="false" customHeight="false" outlineLevel="0" collapsed="false">
      <c r="A32" s="17" t="s">
        <v>80</v>
      </c>
      <c r="B32" s="31" t="n">
        <f aca="false">B30-B31</f>
        <v>2.036125</v>
      </c>
      <c r="C32" s="31" t="n">
        <f aca="false">C30-C31</f>
        <v>2.88881833333333</v>
      </c>
      <c r="D32" s="31" t="n">
        <f aca="false">D30-D31</f>
        <v>3.52115976041667</v>
      </c>
      <c r="E32" s="31" t="n">
        <f aca="false">E30-E31</f>
        <v>4.08006596320313</v>
      </c>
      <c r="F32" s="31" t="n">
        <f aca="false">F30-F31</f>
        <v>4.65973814535947</v>
      </c>
      <c r="G32" s="31" t="n">
        <f aca="false">G30-G31</f>
        <v>5.24421313049675</v>
      </c>
      <c r="H32" s="31" t="n">
        <f aca="false">H30-H31</f>
        <v>5.81477001042424</v>
      </c>
      <c r="I32" s="31" t="n">
        <f aca="false">I30-I31</f>
        <v>6.35073786608722</v>
      </c>
      <c r="J32" s="31" t="n">
        <f aca="false">J30-J31</f>
        <v>6.83059211989362</v>
      </c>
      <c r="K32" s="31" t="n">
        <f aca="false">K30-K31</f>
        <v>7.23327580020904</v>
      </c>
    </row>
    <row r="33" customFormat="false" ht="15" hidden="false" customHeight="false" outlineLevel="0" collapsed="false">
      <c r="A33" s="7" t="s">
        <v>81</v>
      </c>
      <c r="B33" s="32" t="n">
        <f aca="false">1/(1+$B$18)^(B24-0.5)</f>
        <v>0.940452283805552</v>
      </c>
      <c r="C33" s="32" t="n">
        <f aca="false">1/(1+$B$18)^(C24-0.5)</f>
        <v>0.831783490865282</v>
      </c>
      <c r="D33" s="32" t="n">
        <f aca="false">1/(1+$B$18)^(D24-0.5)</f>
        <v>0.735671322819697</v>
      </c>
      <c r="E33" s="32" t="n">
        <f aca="false">1/(1+$B$18)^(E24-0.5)</f>
        <v>0.650664867916859</v>
      </c>
      <c r="F33" s="32" t="n">
        <f aca="false">1/(1+$B$18)^(F24-0.5)</f>
        <v>0.575480866535047</v>
      </c>
      <c r="G33" s="32" t="n">
        <f aca="false">1/(1+$B$18)^(G24-0.5)</f>
        <v>0.508984339062619</v>
      </c>
      <c r="H33" s="32" t="n">
        <f aca="false">1/(1+$B$18)^(H24-0.5)</f>
        <v>0.450171452216707</v>
      </c>
      <c r="I33" s="32" t="n">
        <f aca="false">1/(1+$B$18)^(I24-0.5)</f>
        <v>0.398154365150254</v>
      </c>
      <c r="J33" s="32" t="n">
        <f aca="false">1/(1+$B$18)^(J24-0.5)</f>
        <v>0.352147826583835</v>
      </c>
      <c r="K33" s="32" t="n">
        <f aca="false">1/(1+$B$18)^(K24-0.5)</f>
        <v>0.311457320632215</v>
      </c>
    </row>
    <row r="34" customFormat="false" ht="15" hidden="false" customHeight="false" outlineLevel="0" collapsed="false">
      <c r="A34" s="7" t="s">
        <v>82</v>
      </c>
      <c r="B34" s="14" t="n">
        <f aca="false">B32*B33</f>
        <v>1.91487840636358</v>
      </c>
      <c r="C34" s="14" t="n">
        <f aca="false">C32*C33</f>
        <v>2.40287139777563</v>
      </c>
      <c r="D34" s="14" t="n">
        <f aca="false">D32*D33</f>
        <v>2.59041625880522</v>
      </c>
      <c r="E34" s="14" t="n">
        <f aca="false">E32*E33</f>
        <v>2.65475558103963</v>
      </c>
      <c r="F34" s="14" t="n">
        <f aca="false">F32*F33</f>
        <v>2.68159014571788</v>
      </c>
      <c r="G34" s="14" t="n">
        <f aca="false">G32*G33</f>
        <v>2.66922235412939</v>
      </c>
      <c r="H34" s="14" t="n">
        <f aca="false">H32*H33</f>
        <v>2.61764345989884</v>
      </c>
      <c r="I34" s="14" t="n">
        <f aca="false">I32*I33</f>
        <v>2.52857400330764</v>
      </c>
      <c r="J34" s="14" t="n">
        <f aca="false">J32*J33</f>
        <v>2.40537816930121</v>
      </c>
      <c r="K34" s="14" t="n">
        <f aca="false">K32*K33</f>
        <v>2.25285670012695</v>
      </c>
    </row>
    <row r="36" customFormat="false" ht="19.5" hidden="false" customHeight="true" outlineLevel="0" collapsed="false">
      <c r="A36" s="5" t="s">
        <v>83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7" t="s">
        <v>84</v>
      </c>
      <c r="B37" s="14" t="n">
        <f aca="false">SUM(B34:K34)</f>
        <v>24.718186476466</v>
      </c>
    </row>
    <row r="38" customFormat="false" ht="15" hidden="false" customHeight="false" outlineLevel="0" collapsed="false">
      <c r="A38" s="7" t="s">
        <v>85</v>
      </c>
      <c r="B38" s="14" t="n">
        <f aca="false">K29*(1+$B$10)*(1-$B$14)</f>
        <v>7.84372632297441</v>
      </c>
    </row>
    <row r="39" customFormat="false" ht="15" hidden="false" customHeight="false" outlineLevel="0" collapsed="false">
      <c r="A39" s="7" t="s">
        <v>86</v>
      </c>
      <c r="B39" s="14" t="n">
        <f aca="false">B38*(1-$B$10/$B$16)/($B$18-$B$10)</f>
        <v>68.5820754763434</v>
      </c>
      <c r="C39" s="9" t="s">
        <v>87</v>
      </c>
    </row>
    <row r="40" customFormat="false" ht="15" hidden="false" customHeight="false" outlineLevel="0" collapsed="false">
      <c r="A40" s="7" t="s">
        <v>88</v>
      </c>
      <c r="B40" s="14" t="n">
        <f aca="false">B39/(1+$B$18)^9.5</f>
        <v>21.3603894712582</v>
      </c>
    </row>
    <row r="41" customFormat="false" ht="15" hidden="false" customHeight="false" outlineLevel="0" collapsed="false">
      <c r="A41" s="7" t="s">
        <v>89</v>
      </c>
      <c r="B41" s="14" t="n">
        <f aca="false">B37+B40</f>
        <v>46.0785759477242</v>
      </c>
    </row>
    <row r="42" customFormat="false" ht="15" hidden="false" customHeight="false" outlineLevel="0" collapsed="false">
      <c r="A42" s="7" t="s">
        <v>90</v>
      </c>
      <c r="B42" s="14" t="n">
        <f aca="false">B41+$B$19</f>
        <v>45.9485759477242</v>
      </c>
    </row>
    <row r="43" customFormat="false" ht="15" hidden="false" customHeight="false" outlineLevel="0" collapsed="false">
      <c r="A43" s="17" t="s">
        <v>34</v>
      </c>
      <c r="B43" s="22" t="n">
        <f aca="false">B42/$B$20</f>
        <v>116.917496050189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91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42</v>
      </c>
      <c r="B7" s="15" t="n">
        <v>14</v>
      </c>
      <c r="C7" s="9" t="s">
        <v>43</v>
      </c>
    </row>
    <row r="8" customFormat="false" ht="15" hidden="false" customHeight="false" outlineLevel="0" collapsed="false">
      <c r="A8" s="7" t="s">
        <v>44</v>
      </c>
      <c r="B8" s="16" t="n">
        <v>0.12</v>
      </c>
    </row>
    <row r="9" customFormat="false" ht="15" hidden="false" customHeight="false" outlineLevel="0" collapsed="false">
      <c r="A9" s="7" t="s">
        <v>45</v>
      </c>
      <c r="B9" s="16" t="n">
        <v>0.08</v>
      </c>
      <c r="C9" s="9" t="s">
        <v>46</v>
      </c>
    </row>
    <row r="10" customFormat="false" ht="15" hidden="false" customHeight="false" outlineLevel="0" collapsed="false">
      <c r="A10" s="7" t="s">
        <v>47</v>
      </c>
      <c r="B10" s="16" t="n">
        <v>0.03</v>
      </c>
    </row>
    <row r="11" customFormat="false" ht="15" hidden="false" customHeight="false" outlineLevel="0" collapsed="false">
      <c r="A11" s="7" t="s">
        <v>48</v>
      </c>
      <c r="B11" s="16" t="n">
        <v>0.21</v>
      </c>
    </row>
    <row r="12" customFormat="false" ht="15" hidden="false" customHeight="false" outlineLevel="0" collapsed="false">
      <c r="A12" s="7" t="s">
        <v>49</v>
      </c>
      <c r="B12" s="16" t="n">
        <v>0.21</v>
      </c>
    </row>
    <row r="13" customFormat="false" ht="15" hidden="false" customHeight="false" outlineLevel="0" collapsed="false">
      <c r="A13" s="7" t="s">
        <v>50</v>
      </c>
      <c r="B13" s="27" t="n">
        <v>3</v>
      </c>
    </row>
    <row r="14" customFormat="false" ht="15" hidden="false" customHeight="false" outlineLevel="0" collapsed="false">
      <c r="A14" s="7" t="s">
        <v>51</v>
      </c>
      <c r="B14" s="16" t="n">
        <v>0.21</v>
      </c>
    </row>
    <row r="15" customFormat="false" ht="15" hidden="false" customHeight="false" outlineLevel="0" collapsed="false">
      <c r="A15" s="7" t="s">
        <v>52</v>
      </c>
      <c r="B15" s="28" t="n">
        <v>3</v>
      </c>
      <c r="C15" s="9" t="s">
        <v>53</v>
      </c>
    </row>
    <row r="16" customFormat="false" ht="15" hidden="false" customHeight="false" outlineLevel="0" collapsed="false">
      <c r="A16" s="7" t="s">
        <v>54</v>
      </c>
      <c r="B16" s="16" t="n">
        <v>0.25</v>
      </c>
      <c r="C16" s="9" t="s">
        <v>55</v>
      </c>
    </row>
    <row r="17" customFormat="false" ht="15" hidden="false" customHeight="false" outlineLevel="0" collapsed="false">
      <c r="A17" s="7" t="s">
        <v>56</v>
      </c>
      <c r="B17" s="8" t="n">
        <v>0.01</v>
      </c>
      <c r="C17" s="9" t="s">
        <v>57</v>
      </c>
    </row>
    <row r="18" customFormat="false" ht="15" hidden="false" customHeight="false" outlineLevel="0" collapsed="false">
      <c r="A18" s="7" t="s">
        <v>33</v>
      </c>
      <c r="B18" s="29" t="n">
        <f aca="false">Summary!$B$17+B17</f>
        <v>0.140645527512483</v>
      </c>
    </row>
    <row r="19" customFormat="false" ht="15" hidden="false" customHeight="false" outlineLevel="0" collapsed="false">
      <c r="A19" s="7" t="s">
        <v>58</v>
      </c>
      <c r="B19" s="15" t="n">
        <v>-0.13</v>
      </c>
      <c r="C19" s="9" t="s">
        <v>17</v>
      </c>
    </row>
    <row r="20" customFormat="false" ht="15" hidden="false" customHeight="false" outlineLevel="0" collapsed="false">
      <c r="A20" s="7" t="s">
        <v>13</v>
      </c>
      <c r="B20" s="13" t="n">
        <v>0.393</v>
      </c>
      <c r="C20" s="9" t="s">
        <v>14</v>
      </c>
    </row>
    <row r="22" customFormat="false" ht="19.5" hidden="false" customHeight="true" outlineLevel="0" collapsed="false">
      <c r="A22" s="5" t="s">
        <v>59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30" hidden="false" customHeight="true" outlineLevel="0" collapsed="false">
      <c r="A23" s="19" t="s">
        <v>60</v>
      </c>
      <c r="B23" s="20" t="s">
        <v>61</v>
      </c>
      <c r="C23" s="20" t="s">
        <v>62</v>
      </c>
      <c r="D23" s="20" t="s">
        <v>63</v>
      </c>
      <c r="E23" s="20" t="s">
        <v>64</v>
      </c>
      <c r="F23" s="20" t="s">
        <v>65</v>
      </c>
      <c r="G23" s="20" t="s">
        <v>66</v>
      </c>
      <c r="H23" s="20" t="s">
        <v>67</v>
      </c>
      <c r="I23" s="20" t="s">
        <v>68</v>
      </c>
      <c r="J23" s="20" t="s">
        <v>69</v>
      </c>
      <c r="K23" s="20" t="s">
        <v>70</v>
      </c>
    </row>
    <row r="24" customFormat="false" ht="15" hidden="false" customHeight="false" outlineLevel="0" collapsed="false">
      <c r="A24" s="7" t="s">
        <v>71</v>
      </c>
      <c r="B24" s="30" t="n">
        <v>1</v>
      </c>
      <c r="C24" s="30" t="n">
        <v>2</v>
      </c>
      <c r="D24" s="30" t="n">
        <v>3</v>
      </c>
      <c r="E24" s="30" t="n">
        <v>4</v>
      </c>
      <c r="F24" s="30" t="n">
        <v>5</v>
      </c>
      <c r="G24" s="30" t="n">
        <v>6</v>
      </c>
      <c r="H24" s="30" t="n">
        <v>7</v>
      </c>
      <c r="I24" s="30" t="n">
        <v>8</v>
      </c>
      <c r="J24" s="30" t="n">
        <v>9</v>
      </c>
      <c r="K24" s="30" t="n">
        <v>10</v>
      </c>
    </row>
    <row r="25" customFormat="false" ht="15" hidden="false" customHeight="false" outlineLevel="0" collapsed="false">
      <c r="A25" s="7" t="s">
        <v>72</v>
      </c>
      <c r="L25" s="9" t="s">
        <v>73</v>
      </c>
    </row>
    <row r="26" customFormat="false" ht="15" hidden="false" customHeight="false" outlineLevel="0" collapsed="false">
      <c r="A26" s="7" t="s">
        <v>74</v>
      </c>
      <c r="B26" s="23" t="n">
        <f aca="false">$B$8</f>
        <v>0.12</v>
      </c>
      <c r="C26" s="23" t="n">
        <f aca="false">$B$9</f>
        <v>0.08</v>
      </c>
      <c r="D26" s="23" t="n">
        <f aca="false">$B$9+($B$10-$B$9)*(D24-2)/8</f>
        <v>0.07375</v>
      </c>
      <c r="E26" s="23" t="n">
        <f aca="false">$B$9+($B$10-$B$9)*(E24-2)/8</f>
        <v>0.0675</v>
      </c>
      <c r="F26" s="23" t="n">
        <f aca="false">$B$9+($B$10-$B$9)*(F24-2)/8</f>
        <v>0.06125</v>
      </c>
      <c r="G26" s="23" t="n">
        <f aca="false">$B$9+($B$10-$B$9)*(G24-2)/8</f>
        <v>0.055</v>
      </c>
      <c r="H26" s="23" t="n">
        <f aca="false">$B$9+($B$10-$B$9)*(H24-2)/8</f>
        <v>0.04875</v>
      </c>
      <c r="I26" s="23" t="n">
        <f aca="false">$B$9+($B$10-$B$9)*(I24-2)/8</f>
        <v>0.0425</v>
      </c>
      <c r="J26" s="23" t="n">
        <f aca="false">$B$9+($B$10-$B$9)*(J24-2)/8</f>
        <v>0.03625</v>
      </c>
      <c r="K26" s="23" t="n">
        <f aca="false">$B$9+($B$10-$B$9)*(K24-2)/8</f>
        <v>0.03</v>
      </c>
    </row>
    <row r="27" customFormat="false" ht="15" hidden="false" customHeight="false" outlineLevel="0" collapsed="false">
      <c r="A27" s="7" t="s">
        <v>75</v>
      </c>
      <c r="B27" s="14" t="n">
        <f aca="false">$B$7*(1+B26)</f>
        <v>15.68</v>
      </c>
      <c r="C27" s="14" t="n">
        <f aca="false">B27*(1+C26)</f>
        <v>16.9344</v>
      </c>
      <c r="D27" s="14" t="n">
        <f aca="false">C27*(1+D26)</f>
        <v>18.183312</v>
      </c>
      <c r="E27" s="14" t="n">
        <f aca="false">D27*(1+E26)</f>
        <v>19.41068556</v>
      </c>
      <c r="F27" s="14" t="n">
        <f aca="false">E27*(1+F26)</f>
        <v>20.59959005055</v>
      </c>
      <c r="G27" s="14" t="n">
        <f aca="false">F27*(1+G26)</f>
        <v>21.7325675033303</v>
      </c>
      <c r="H27" s="14" t="n">
        <f aca="false">G27*(1+H26)</f>
        <v>22.7920301691176</v>
      </c>
      <c r="I27" s="14" t="n">
        <f aca="false">H27*(1+I26)</f>
        <v>23.7606914513051</v>
      </c>
      <c r="J27" s="14" t="n">
        <f aca="false">I27*(1+J26)</f>
        <v>24.6220165164149</v>
      </c>
      <c r="K27" s="14" t="n">
        <f aca="false">J27*(1+K26)</f>
        <v>25.3606770119074</v>
      </c>
    </row>
    <row r="28" customFormat="false" ht="15" hidden="false" customHeight="false" outlineLevel="0" collapsed="false">
      <c r="A28" s="7" t="s">
        <v>76</v>
      </c>
      <c r="B28" s="23" t="n">
        <f aca="false">$B$11+($B$12-$B$11)*MIN(1,B24/$B$13)</f>
        <v>0.21</v>
      </c>
      <c r="C28" s="23" t="n">
        <f aca="false">$B$11+($B$12-$B$11)*MIN(1,C24/$B$13)</f>
        <v>0.21</v>
      </c>
      <c r="D28" s="23" t="n">
        <f aca="false">$B$11+($B$12-$B$11)*MIN(1,D24/$B$13)</f>
        <v>0.21</v>
      </c>
      <c r="E28" s="23" t="n">
        <f aca="false">$B$11+($B$12-$B$11)*MIN(1,E24/$B$13)</f>
        <v>0.21</v>
      </c>
      <c r="F28" s="23" t="n">
        <f aca="false">$B$11+($B$12-$B$11)*MIN(1,F24/$B$13)</f>
        <v>0.21</v>
      </c>
      <c r="G28" s="23" t="n">
        <f aca="false">$B$11+($B$12-$B$11)*MIN(1,G24/$B$13)</f>
        <v>0.21</v>
      </c>
      <c r="H28" s="23" t="n">
        <f aca="false">$B$11+($B$12-$B$11)*MIN(1,H24/$B$13)</f>
        <v>0.21</v>
      </c>
      <c r="I28" s="23" t="n">
        <f aca="false">$B$11+($B$12-$B$11)*MIN(1,I24/$B$13)</f>
        <v>0.21</v>
      </c>
      <c r="J28" s="23" t="n">
        <f aca="false">$B$11+($B$12-$B$11)*MIN(1,J24/$B$13)</f>
        <v>0.21</v>
      </c>
      <c r="K28" s="23" t="n">
        <f aca="false">$B$11+($B$12-$B$11)*MIN(1,K24/$B$13)</f>
        <v>0.21</v>
      </c>
    </row>
    <row r="29" customFormat="false" ht="15" hidden="false" customHeight="false" outlineLevel="0" collapsed="false">
      <c r="A29" s="7" t="s">
        <v>77</v>
      </c>
      <c r="B29" s="14" t="n">
        <f aca="false">B27*B28</f>
        <v>3.2928</v>
      </c>
      <c r="C29" s="14" t="n">
        <f aca="false">C27*C28</f>
        <v>3.556224</v>
      </c>
      <c r="D29" s="14" t="n">
        <f aca="false">D27*D28</f>
        <v>3.81849552</v>
      </c>
      <c r="E29" s="14" t="n">
        <f aca="false">E27*E28</f>
        <v>4.0762439676</v>
      </c>
      <c r="F29" s="14" t="n">
        <f aca="false">F27*F28</f>
        <v>4.3259139106155</v>
      </c>
      <c r="G29" s="14" t="n">
        <f aca="false">G27*G28</f>
        <v>4.56383917569935</v>
      </c>
      <c r="H29" s="14" t="n">
        <f aca="false">H27*H28</f>
        <v>4.7863263355147</v>
      </c>
      <c r="I29" s="14" t="n">
        <f aca="false">I27*I28</f>
        <v>4.98974520477407</v>
      </c>
      <c r="J29" s="14" t="n">
        <f aca="false">J27*J28</f>
        <v>5.17062346844713</v>
      </c>
      <c r="K29" s="14" t="n">
        <f aca="false">K27*K28</f>
        <v>5.32574217250054</v>
      </c>
    </row>
    <row r="30" customFormat="false" ht="15" hidden="false" customHeight="false" outlineLevel="0" collapsed="false">
      <c r="A30" s="7" t="s">
        <v>78</v>
      </c>
      <c r="B30" s="14" t="n">
        <f aca="false">B29*(1-$B$14)</f>
        <v>2.601312</v>
      </c>
      <c r="C30" s="14" t="n">
        <f aca="false">C29*(1-$B$14)</f>
        <v>2.80941696</v>
      </c>
      <c r="D30" s="14" t="n">
        <f aca="false">D29*(1-$B$14)</f>
        <v>3.0166114608</v>
      </c>
      <c r="E30" s="14" t="n">
        <f aca="false">E29*(1-$B$14)</f>
        <v>3.220232734404</v>
      </c>
      <c r="F30" s="14" t="n">
        <f aca="false">F29*(1-$B$14)</f>
        <v>3.41747198938625</v>
      </c>
      <c r="G30" s="14" t="n">
        <f aca="false">G29*(1-$B$14)</f>
        <v>3.60543294880249</v>
      </c>
      <c r="H30" s="14" t="n">
        <f aca="false">H29*(1-$B$14)</f>
        <v>3.78119780505661</v>
      </c>
      <c r="I30" s="14" t="n">
        <f aca="false">I29*(1-$B$14)</f>
        <v>3.94189871177152</v>
      </c>
      <c r="J30" s="14" t="n">
        <f aca="false">J29*(1-$B$14)</f>
        <v>4.08479254007323</v>
      </c>
      <c r="K30" s="14" t="n">
        <f aca="false">K29*(1-$B$14)</f>
        <v>4.20733631627543</v>
      </c>
    </row>
    <row r="31" customFormat="false" ht="15" hidden="false" customHeight="false" outlineLevel="0" collapsed="false">
      <c r="A31" s="7" t="s">
        <v>79</v>
      </c>
      <c r="B31" s="14" t="n">
        <f aca="false">IF(ISNUMBER(B25),B25,(B27-$B$7)/$B$15)</f>
        <v>0.560000000000001</v>
      </c>
      <c r="C31" s="14" t="n">
        <f aca="false">IF(ISNUMBER(C25),C25,(C27-B27)/$B$15)</f>
        <v>0.418133333333334</v>
      </c>
      <c r="D31" s="14" t="n">
        <f aca="false">IF(ISNUMBER(D25),D25,(D27-C27)/$B$15)</f>
        <v>0.416304</v>
      </c>
      <c r="E31" s="14" t="n">
        <f aca="false">IF(ISNUMBER(E25),E25,(E27-D27)/$B$15)</f>
        <v>0.409124519999999</v>
      </c>
      <c r="F31" s="14" t="n">
        <f aca="false">IF(ISNUMBER(F25),F25,(F27-E27)/$B$15)</f>
        <v>0.396301496850001</v>
      </c>
      <c r="G31" s="14" t="n">
        <f aca="false">IF(ISNUMBER(G25),G25,(G27-F27)/$B$15)</f>
        <v>0.37765915092675</v>
      </c>
      <c r="H31" s="14" t="n">
        <f aca="false">IF(ISNUMBER(H25),H25,(H27-G27)/$B$15)</f>
        <v>0.353154221929117</v>
      </c>
      <c r="I31" s="14" t="n">
        <f aca="false">IF(ISNUMBER(I25),I25,(I27-H27)/$B$15)</f>
        <v>0.322887094062499</v>
      </c>
      <c r="J31" s="14" t="n">
        <f aca="false">IF(ISNUMBER(J25),J25,(J27-I27)/$B$15)</f>
        <v>0.287108355036602</v>
      </c>
      <c r="K31" s="14" t="n">
        <f aca="false">IF(ISNUMBER(K25),K25,(K27-J27)/$B$15)</f>
        <v>0.246220165164149</v>
      </c>
    </row>
    <row r="32" customFormat="false" ht="15" hidden="false" customHeight="false" outlineLevel="0" collapsed="false">
      <c r="A32" s="17" t="s">
        <v>80</v>
      </c>
      <c r="B32" s="31" t="n">
        <f aca="false">B30-B31</f>
        <v>2.041312</v>
      </c>
      <c r="C32" s="31" t="n">
        <f aca="false">C30-C31</f>
        <v>2.39128362666667</v>
      </c>
      <c r="D32" s="31" t="n">
        <f aca="false">D30-D31</f>
        <v>2.6003074608</v>
      </c>
      <c r="E32" s="31" t="n">
        <f aca="false">E30-E31</f>
        <v>2.811108214404</v>
      </c>
      <c r="F32" s="31" t="n">
        <f aca="false">F30-F31</f>
        <v>3.02117049253625</v>
      </c>
      <c r="G32" s="31" t="n">
        <f aca="false">G30-G31</f>
        <v>3.22777379787574</v>
      </c>
      <c r="H32" s="31" t="n">
        <f aca="false">H30-H31</f>
        <v>3.42804358312749</v>
      </c>
      <c r="I32" s="31" t="n">
        <f aca="false">I30-I31</f>
        <v>3.61901161770902</v>
      </c>
      <c r="J32" s="31" t="n">
        <f aca="false">J30-J31</f>
        <v>3.79768418503663</v>
      </c>
      <c r="K32" s="31" t="n">
        <f aca="false">K30-K31</f>
        <v>3.96111615111128</v>
      </c>
    </row>
    <row r="33" customFormat="false" ht="15" hidden="false" customHeight="false" outlineLevel="0" collapsed="false">
      <c r="A33" s="7" t="s">
        <v>81</v>
      </c>
      <c r="B33" s="32" t="n">
        <f aca="false">1/(1+$B$18)^(B24-0.5)</f>
        <v>0.936320752254215</v>
      </c>
      <c r="C33" s="32" t="n">
        <f aca="false">1/(1+$B$18)^(C24-0.5)</f>
        <v>0.820869174226406</v>
      </c>
      <c r="D33" s="32" t="n">
        <f aca="false">1/(1+$B$18)^(D24-0.5)</f>
        <v>0.719653173950154</v>
      </c>
      <c r="E33" s="32" t="n">
        <f aca="false">1/(1+$B$18)^(E24-0.5)</f>
        <v>0.630917455591635</v>
      </c>
      <c r="F33" s="32" t="n">
        <f aca="false">1/(1+$B$18)^(F24-0.5)</f>
        <v>0.553123157347172</v>
      </c>
      <c r="G33" s="32" t="n">
        <f aca="false">1/(1+$B$18)^(G24-0.5)</f>
        <v>0.484921164380859</v>
      </c>
      <c r="H33" s="32" t="n">
        <f aca="false">1/(1+$B$18)^(H24-0.5)</f>
        <v>0.425128712369016</v>
      </c>
      <c r="I33" s="32" t="n">
        <f aca="false">1/(1+$B$18)^(I24-0.5)</f>
        <v>0.372708875908308</v>
      </c>
      <c r="J33" s="32" t="n">
        <f aca="false">1/(1+$B$18)^(J24-0.5)</f>
        <v>0.326752586073879</v>
      </c>
      <c r="K33" s="32" t="n">
        <f aca="false">1/(1+$B$18)^(K24-0.5)</f>
        <v>0.286462865274596</v>
      </c>
    </row>
    <row r="34" customFormat="false" ht="15" hidden="false" customHeight="false" outlineLevel="0" collapsed="false">
      <c r="A34" s="7" t="s">
        <v>82</v>
      </c>
      <c r="B34" s="14" t="n">
        <f aca="false">B32*B33</f>
        <v>1.91132278742556</v>
      </c>
      <c r="C34" s="14" t="n">
        <f aca="false">C32*C33</f>
        <v>1.96293101596299</v>
      </c>
      <c r="D34" s="14" t="n">
        <f aca="false">D32*D33</f>
        <v>1.87131951741099</v>
      </c>
      <c r="E34" s="14" t="n">
        <f aca="false">E32*E33</f>
        <v>1.77357724202452</v>
      </c>
      <c r="F34" s="14" t="n">
        <f aca="false">F32*F33</f>
        <v>1.67107936171576</v>
      </c>
      <c r="G34" s="14" t="n">
        <f aca="false">G32*G33</f>
        <v>1.56521582842393</v>
      </c>
      <c r="H34" s="14" t="n">
        <f aca="false">H32*H33</f>
        <v>1.45735975443986</v>
      </c>
      <c r="I34" s="14" t="n">
        <f aca="false">I32*I33</f>
        <v>1.34883775193543</v>
      </c>
      <c r="J34" s="14" t="n">
        <f aca="false">J32*J33</f>
        <v>1.24090312855259</v>
      </c>
      <c r="K34" s="14" t="n">
        <f aca="false">K32*K33</f>
        <v>1.13471268233282</v>
      </c>
    </row>
    <row r="36" customFormat="false" ht="19.5" hidden="false" customHeight="true" outlineLevel="0" collapsed="false">
      <c r="A36" s="5" t="s">
        <v>83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7" t="s">
        <v>84</v>
      </c>
      <c r="B37" s="14" t="n">
        <f aca="false">SUM(B34:K34)</f>
        <v>15.9372590702244</v>
      </c>
    </row>
    <row r="38" customFormat="false" ht="15" hidden="false" customHeight="false" outlineLevel="0" collapsed="false">
      <c r="A38" s="7" t="s">
        <v>85</v>
      </c>
      <c r="B38" s="14" t="n">
        <f aca="false">K29*(1+$B$10)*(1-$B$14)</f>
        <v>4.33355640576369</v>
      </c>
    </row>
    <row r="39" customFormat="false" ht="15" hidden="false" customHeight="false" outlineLevel="0" collapsed="false">
      <c r="A39" s="7" t="s">
        <v>86</v>
      </c>
      <c r="B39" s="14" t="n">
        <f aca="false">B38*(1-$B$10/$B$16)/($B$18-$B$10)</f>
        <v>34.4661887634077</v>
      </c>
      <c r="C39" s="9" t="s">
        <v>87</v>
      </c>
    </row>
    <row r="40" customFormat="false" ht="15" hidden="false" customHeight="false" outlineLevel="0" collapsed="false">
      <c r="A40" s="7" t="s">
        <v>88</v>
      </c>
      <c r="B40" s="14" t="n">
        <f aca="false">B39/(1+$B$18)^9.5</f>
        <v>9.87328318826087</v>
      </c>
    </row>
    <row r="41" customFormat="false" ht="15" hidden="false" customHeight="false" outlineLevel="0" collapsed="false">
      <c r="A41" s="7" t="s">
        <v>89</v>
      </c>
      <c r="B41" s="14" t="n">
        <f aca="false">B37+B40</f>
        <v>25.8105422584853</v>
      </c>
    </row>
    <row r="42" customFormat="false" ht="15" hidden="false" customHeight="false" outlineLevel="0" collapsed="false">
      <c r="A42" s="7" t="s">
        <v>90</v>
      </c>
      <c r="B42" s="14" t="n">
        <f aca="false">B41+$B$19</f>
        <v>25.6805422584853</v>
      </c>
    </row>
    <row r="43" customFormat="false" ht="15" hidden="false" customHeight="false" outlineLevel="0" collapsed="false">
      <c r="A43" s="17" t="s">
        <v>34</v>
      </c>
      <c r="B43" s="22" t="n">
        <f aca="false">B42/$B$20</f>
        <v>65.3448912429652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92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42</v>
      </c>
      <c r="B7" s="15" t="n">
        <v>14</v>
      </c>
      <c r="C7" s="9" t="s">
        <v>43</v>
      </c>
    </row>
    <row r="8" customFormat="false" ht="15" hidden="false" customHeight="false" outlineLevel="0" collapsed="false">
      <c r="A8" s="7" t="s">
        <v>44</v>
      </c>
      <c r="B8" s="16" t="n">
        <v>0.35</v>
      </c>
    </row>
    <row r="9" customFormat="false" ht="15" hidden="false" customHeight="false" outlineLevel="0" collapsed="false">
      <c r="A9" s="7" t="s">
        <v>45</v>
      </c>
      <c r="B9" s="16" t="n">
        <v>0.22</v>
      </c>
      <c r="C9" s="9" t="s">
        <v>46</v>
      </c>
    </row>
    <row r="10" customFormat="false" ht="15" hidden="false" customHeight="false" outlineLevel="0" collapsed="false">
      <c r="A10" s="7" t="s">
        <v>47</v>
      </c>
      <c r="B10" s="16" t="n">
        <v>0.03</v>
      </c>
    </row>
    <row r="11" customFormat="false" ht="15" hidden="false" customHeight="false" outlineLevel="0" collapsed="false">
      <c r="A11" s="7" t="s">
        <v>48</v>
      </c>
      <c r="B11" s="16" t="n">
        <v>0.235</v>
      </c>
    </row>
    <row r="12" customFormat="false" ht="15" hidden="false" customHeight="false" outlineLevel="0" collapsed="false">
      <c r="A12" s="7" t="s">
        <v>49</v>
      </c>
      <c r="B12" s="16" t="n">
        <v>0.27</v>
      </c>
    </row>
    <row r="13" customFormat="false" ht="15" hidden="false" customHeight="false" outlineLevel="0" collapsed="false">
      <c r="A13" s="7" t="s">
        <v>50</v>
      </c>
      <c r="B13" s="27" t="n">
        <v>3</v>
      </c>
    </row>
    <row r="14" customFormat="false" ht="15" hidden="false" customHeight="false" outlineLevel="0" collapsed="false">
      <c r="A14" s="7" t="s">
        <v>51</v>
      </c>
      <c r="B14" s="16" t="n">
        <v>0.21</v>
      </c>
    </row>
    <row r="15" customFormat="false" ht="15" hidden="false" customHeight="false" outlineLevel="0" collapsed="false">
      <c r="A15" s="7" t="s">
        <v>52</v>
      </c>
      <c r="B15" s="28" t="n">
        <v>3</v>
      </c>
      <c r="C15" s="9" t="s">
        <v>53</v>
      </c>
    </row>
    <row r="16" customFormat="false" ht="15" hidden="false" customHeight="false" outlineLevel="0" collapsed="false">
      <c r="A16" s="7" t="s">
        <v>54</v>
      </c>
      <c r="B16" s="16" t="n">
        <v>0.25</v>
      </c>
      <c r="C16" s="9" t="s">
        <v>55</v>
      </c>
    </row>
    <row r="17" customFormat="false" ht="15" hidden="false" customHeight="false" outlineLevel="0" collapsed="false">
      <c r="A17" s="7" t="s">
        <v>56</v>
      </c>
      <c r="B17" s="8" t="n">
        <v>-0.01</v>
      </c>
      <c r="C17" s="9" t="s">
        <v>57</v>
      </c>
    </row>
    <row r="18" customFormat="false" ht="15" hidden="false" customHeight="false" outlineLevel="0" collapsed="false">
      <c r="A18" s="7" t="s">
        <v>33</v>
      </c>
      <c r="B18" s="29" t="n">
        <f aca="false">Summary!$B$17+B17</f>
        <v>0.120645527512483</v>
      </c>
    </row>
    <row r="19" customFormat="false" ht="15" hidden="false" customHeight="false" outlineLevel="0" collapsed="false">
      <c r="A19" s="7" t="s">
        <v>58</v>
      </c>
      <c r="B19" s="15" t="n">
        <v>-0.13</v>
      </c>
      <c r="C19" s="9" t="s">
        <v>17</v>
      </c>
    </row>
    <row r="20" customFormat="false" ht="15" hidden="false" customHeight="false" outlineLevel="0" collapsed="false">
      <c r="A20" s="7" t="s">
        <v>13</v>
      </c>
      <c r="B20" s="13" t="n">
        <v>0.393</v>
      </c>
      <c r="C20" s="9" t="s">
        <v>14</v>
      </c>
    </row>
    <row r="22" customFormat="false" ht="19.5" hidden="false" customHeight="true" outlineLevel="0" collapsed="false">
      <c r="A22" s="5" t="s">
        <v>59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30" hidden="false" customHeight="true" outlineLevel="0" collapsed="false">
      <c r="A23" s="19" t="s">
        <v>60</v>
      </c>
      <c r="B23" s="20" t="s">
        <v>61</v>
      </c>
      <c r="C23" s="20" t="s">
        <v>62</v>
      </c>
      <c r="D23" s="20" t="s">
        <v>63</v>
      </c>
      <c r="E23" s="20" t="s">
        <v>64</v>
      </c>
      <c r="F23" s="20" t="s">
        <v>65</v>
      </c>
      <c r="G23" s="20" t="s">
        <v>66</v>
      </c>
      <c r="H23" s="20" t="s">
        <v>67</v>
      </c>
      <c r="I23" s="20" t="s">
        <v>68</v>
      </c>
      <c r="J23" s="20" t="s">
        <v>69</v>
      </c>
      <c r="K23" s="20" t="s">
        <v>70</v>
      </c>
    </row>
    <row r="24" customFormat="false" ht="15" hidden="false" customHeight="false" outlineLevel="0" collapsed="false">
      <c r="A24" s="7" t="s">
        <v>71</v>
      </c>
      <c r="B24" s="30" t="n">
        <v>1</v>
      </c>
      <c r="C24" s="30" t="n">
        <v>2</v>
      </c>
      <c r="D24" s="30" t="n">
        <v>3</v>
      </c>
      <c r="E24" s="30" t="n">
        <v>4</v>
      </c>
      <c r="F24" s="30" t="n">
        <v>5</v>
      </c>
      <c r="G24" s="30" t="n">
        <v>6</v>
      </c>
      <c r="H24" s="30" t="n">
        <v>7</v>
      </c>
      <c r="I24" s="30" t="n">
        <v>8</v>
      </c>
      <c r="J24" s="30" t="n">
        <v>9</v>
      </c>
      <c r="K24" s="30" t="n">
        <v>10</v>
      </c>
    </row>
    <row r="25" customFormat="false" ht="15" hidden="false" customHeight="false" outlineLevel="0" collapsed="false">
      <c r="A25" s="7" t="s">
        <v>72</v>
      </c>
      <c r="L25" s="9" t="s">
        <v>73</v>
      </c>
    </row>
    <row r="26" customFormat="false" ht="15" hidden="false" customHeight="false" outlineLevel="0" collapsed="false">
      <c r="A26" s="7" t="s">
        <v>74</v>
      </c>
      <c r="B26" s="23" t="n">
        <f aca="false">$B$8</f>
        <v>0.35</v>
      </c>
      <c r="C26" s="23" t="n">
        <f aca="false">$B$9</f>
        <v>0.22</v>
      </c>
      <c r="D26" s="23" t="n">
        <f aca="false">$B$9+($B$10-$B$9)*(D24-2)/8</f>
        <v>0.19625</v>
      </c>
      <c r="E26" s="23" t="n">
        <f aca="false">$B$9+($B$10-$B$9)*(E24-2)/8</f>
        <v>0.1725</v>
      </c>
      <c r="F26" s="23" t="n">
        <f aca="false">$B$9+($B$10-$B$9)*(F24-2)/8</f>
        <v>0.14875</v>
      </c>
      <c r="G26" s="23" t="n">
        <f aca="false">$B$9+($B$10-$B$9)*(G24-2)/8</f>
        <v>0.125</v>
      </c>
      <c r="H26" s="23" t="n">
        <f aca="false">$B$9+($B$10-$B$9)*(H24-2)/8</f>
        <v>0.10125</v>
      </c>
      <c r="I26" s="23" t="n">
        <f aca="false">$B$9+($B$10-$B$9)*(I24-2)/8</f>
        <v>0.0775</v>
      </c>
      <c r="J26" s="23" t="n">
        <f aca="false">$B$9+($B$10-$B$9)*(J24-2)/8</f>
        <v>0.05375</v>
      </c>
      <c r="K26" s="23" t="n">
        <f aca="false">$B$9+($B$10-$B$9)*(K24-2)/8</f>
        <v>0.03</v>
      </c>
    </row>
    <row r="27" customFormat="false" ht="15" hidden="false" customHeight="false" outlineLevel="0" collapsed="false">
      <c r="A27" s="7" t="s">
        <v>75</v>
      </c>
      <c r="B27" s="14" t="n">
        <f aca="false">$B$7*(1+B26)</f>
        <v>18.9</v>
      </c>
      <c r="C27" s="14" t="n">
        <f aca="false">B27*(1+C26)</f>
        <v>23.058</v>
      </c>
      <c r="D27" s="14" t="n">
        <f aca="false">C27*(1+D26)</f>
        <v>27.5831325</v>
      </c>
      <c r="E27" s="14" t="n">
        <f aca="false">D27*(1+E26)</f>
        <v>32.34122285625</v>
      </c>
      <c r="F27" s="14" t="n">
        <f aca="false">E27*(1+F26)</f>
        <v>37.1519797561172</v>
      </c>
      <c r="G27" s="14" t="n">
        <f aca="false">F27*(1+G26)</f>
        <v>41.7959772256318</v>
      </c>
      <c r="H27" s="14" t="n">
        <f aca="false">G27*(1+H26)</f>
        <v>46.0278199197271</v>
      </c>
      <c r="I27" s="14" t="n">
        <f aca="false">H27*(1+I26)</f>
        <v>49.5949759635059</v>
      </c>
      <c r="J27" s="14" t="n">
        <f aca="false">I27*(1+J26)</f>
        <v>52.2607059215443</v>
      </c>
      <c r="K27" s="14" t="n">
        <f aca="false">J27*(1+K26)</f>
        <v>53.8285270991907</v>
      </c>
    </row>
    <row r="28" customFormat="false" ht="15" hidden="false" customHeight="false" outlineLevel="0" collapsed="false">
      <c r="A28" s="7" t="s">
        <v>76</v>
      </c>
      <c r="B28" s="23" t="n">
        <f aca="false">$B$11+($B$12-$B$11)*MIN(1,B24/$B$13)</f>
        <v>0.246666666666667</v>
      </c>
      <c r="C28" s="23" t="n">
        <f aca="false">$B$11+($B$12-$B$11)*MIN(1,C24/$B$13)</f>
        <v>0.258333333333333</v>
      </c>
      <c r="D28" s="23" t="n">
        <f aca="false">$B$11+($B$12-$B$11)*MIN(1,D24/$B$13)</f>
        <v>0.27</v>
      </c>
      <c r="E28" s="23" t="n">
        <f aca="false">$B$11+($B$12-$B$11)*MIN(1,E24/$B$13)</f>
        <v>0.27</v>
      </c>
      <c r="F28" s="23" t="n">
        <f aca="false">$B$11+($B$12-$B$11)*MIN(1,F24/$B$13)</f>
        <v>0.27</v>
      </c>
      <c r="G28" s="23" t="n">
        <f aca="false">$B$11+($B$12-$B$11)*MIN(1,G24/$B$13)</f>
        <v>0.27</v>
      </c>
      <c r="H28" s="23" t="n">
        <f aca="false">$B$11+($B$12-$B$11)*MIN(1,H24/$B$13)</f>
        <v>0.27</v>
      </c>
      <c r="I28" s="23" t="n">
        <f aca="false">$B$11+($B$12-$B$11)*MIN(1,I24/$B$13)</f>
        <v>0.27</v>
      </c>
      <c r="J28" s="23" t="n">
        <f aca="false">$B$11+($B$12-$B$11)*MIN(1,J24/$B$13)</f>
        <v>0.27</v>
      </c>
      <c r="K28" s="23" t="n">
        <f aca="false">$B$11+($B$12-$B$11)*MIN(1,K24/$B$13)</f>
        <v>0.27</v>
      </c>
    </row>
    <row r="29" customFormat="false" ht="15" hidden="false" customHeight="false" outlineLevel="0" collapsed="false">
      <c r="A29" s="7" t="s">
        <v>77</v>
      </c>
      <c r="B29" s="14" t="n">
        <f aca="false">B27*B28</f>
        <v>4.662</v>
      </c>
      <c r="C29" s="14" t="n">
        <f aca="false">C27*C28</f>
        <v>5.95665</v>
      </c>
      <c r="D29" s="14" t="n">
        <f aca="false">D27*D28</f>
        <v>7.447445775</v>
      </c>
      <c r="E29" s="14" t="n">
        <f aca="false">E27*E28</f>
        <v>8.7321301711875</v>
      </c>
      <c r="F29" s="14" t="n">
        <f aca="false">F27*F28</f>
        <v>10.0310345341516</v>
      </c>
      <c r="G29" s="14" t="n">
        <f aca="false">G27*G28</f>
        <v>11.2849138509206</v>
      </c>
      <c r="H29" s="14" t="n">
        <f aca="false">H27*H28</f>
        <v>12.4275113783263</v>
      </c>
      <c r="I29" s="14" t="n">
        <f aca="false">I27*I28</f>
        <v>13.3906435101466</v>
      </c>
      <c r="J29" s="14" t="n">
        <f aca="false">J27*J28</f>
        <v>14.110390598817</v>
      </c>
      <c r="K29" s="14" t="n">
        <f aca="false">K27*K28</f>
        <v>14.5337023167815</v>
      </c>
    </row>
    <row r="30" customFormat="false" ht="15" hidden="false" customHeight="false" outlineLevel="0" collapsed="false">
      <c r="A30" s="7" t="s">
        <v>78</v>
      </c>
      <c r="B30" s="14" t="n">
        <f aca="false">B29*(1-$B$14)</f>
        <v>3.68298</v>
      </c>
      <c r="C30" s="14" t="n">
        <f aca="false">C29*(1-$B$14)</f>
        <v>4.7057535</v>
      </c>
      <c r="D30" s="14" t="n">
        <f aca="false">D29*(1-$B$14)</f>
        <v>5.88348216225</v>
      </c>
      <c r="E30" s="14" t="n">
        <f aca="false">E29*(1-$B$14)</f>
        <v>6.89838283523813</v>
      </c>
      <c r="F30" s="14" t="n">
        <f aca="false">F29*(1-$B$14)</f>
        <v>7.9245172819798</v>
      </c>
      <c r="G30" s="14" t="n">
        <f aca="false">G29*(1-$B$14)</f>
        <v>8.91508194222727</v>
      </c>
      <c r="H30" s="14" t="n">
        <f aca="false">H29*(1-$B$14)</f>
        <v>9.81773398887778</v>
      </c>
      <c r="I30" s="14" t="n">
        <f aca="false">I29*(1-$B$14)</f>
        <v>10.5786083730158</v>
      </c>
      <c r="J30" s="14" t="n">
        <f aca="false">J29*(1-$B$14)</f>
        <v>11.1472085730654</v>
      </c>
      <c r="K30" s="14" t="n">
        <f aca="false">K29*(1-$B$14)</f>
        <v>11.4816248302574</v>
      </c>
    </row>
    <row r="31" customFormat="false" ht="15" hidden="false" customHeight="false" outlineLevel="0" collapsed="false">
      <c r="A31" s="7" t="s">
        <v>79</v>
      </c>
      <c r="B31" s="14" t="n">
        <f aca="false">IF(ISNUMBER(B25),B25,(B27-$B$7)/$B$15)</f>
        <v>1.63333333333333</v>
      </c>
      <c r="C31" s="14" t="n">
        <f aca="false">IF(ISNUMBER(C25),C25,(C27-B27)/$B$15)</f>
        <v>1.386</v>
      </c>
      <c r="D31" s="14" t="n">
        <f aca="false">IF(ISNUMBER(D25),D25,(D27-C27)/$B$15)</f>
        <v>1.5083775</v>
      </c>
      <c r="E31" s="14" t="n">
        <f aca="false">IF(ISNUMBER(E25),E25,(E27-D27)/$B$15)</f>
        <v>1.58603011875</v>
      </c>
      <c r="F31" s="14" t="n">
        <f aca="false">IF(ISNUMBER(F25),F25,(F27-E27)/$B$15)</f>
        <v>1.60358563328906</v>
      </c>
      <c r="G31" s="14" t="n">
        <f aca="false">IF(ISNUMBER(G25),G25,(G27-F27)/$B$15)</f>
        <v>1.54799915650488</v>
      </c>
      <c r="H31" s="14" t="n">
        <f aca="false">IF(ISNUMBER(H25),H25,(H27-G27)/$B$15)</f>
        <v>1.41061423136508</v>
      </c>
      <c r="I31" s="14" t="n">
        <f aca="false">IF(ISNUMBER(I25),I25,(I27-H27)/$B$15)</f>
        <v>1.18905201459295</v>
      </c>
      <c r="J31" s="14" t="n">
        <f aca="false">IF(ISNUMBER(J25),J25,(J27-I27)/$B$15)</f>
        <v>0.88857665267948</v>
      </c>
      <c r="K31" s="14" t="n">
        <f aca="false">IF(ISNUMBER(K25),K25,(K27-J27)/$B$15)</f>
        <v>0.522607059215443</v>
      </c>
    </row>
    <row r="32" customFormat="false" ht="15" hidden="false" customHeight="false" outlineLevel="0" collapsed="false">
      <c r="A32" s="17" t="s">
        <v>80</v>
      </c>
      <c r="B32" s="31" t="n">
        <f aca="false">B30-B31</f>
        <v>2.04964666666667</v>
      </c>
      <c r="C32" s="31" t="n">
        <f aca="false">C30-C31</f>
        <v>3.3197535</v>
      </c>
      <c r="D32" s="31" t="n">
        <f aca="false">D30-D31</f>
        <v>4.37510466225</v>
      </c>
      <c r="E32" s="31" t="n">
        <f aca="false">E30-E31</f>
        <v>5.31235271648813</v>
      </c>
      <c r="F32" s="31" t="n">
        <f aca="false">F30-F31</f>
        <v>6.32093164869073</v>
      </c>
      <c r="G32" s="31" t="n">
        <f aca="false">G30-G31</f>
        <v>7.36708278572239</v>
      </c>
      <c r="H32" s="31" t="n">
        <f aca="false">H30-H31</f>
        <v>8.40711975751271</v>
      </c>
      <c r="I32" s="31" t="n">
        <f aca="false">I30-I31</f>
        <v>9.38955635842286</v>
      </c>
      <c r="J32" s="31" t="n">
        <f aca="false">J30-J31</f>
        <v>10.2586319203859</v>
      </c>
      <c r="K32" s="31" t="n">
        <f aca="false">K30-K31</f>
        <v>10.9590177710419</v>
      </c>
    </row>
    <row r="33" customFormat="false" ht="15" hidden="false" customHeight="false" outlineLevel="0" collapsed="false">
      <c r="A33" s="7" t="s">
        <v>81</v>
      </c>
      <c r="B33" s="32" t="n">
        <f aca="false">1/(1+$B$18)^(B24-0.5)</f>
        <v>0.944638993853464</v>
      </c>
      <c r="C33" s="32" t="n">
        <f aca="false">1/(1+$B$18)^(C24-0.5)</f>
        <v>0.842941831883536</v>
      </c>
      <c r="D33" s="32" t="n">
        <f aca="false">1/(1+$B$18)^(D24-0.5)</f>
        <v>0.752193098699666</v>
      </c>
      <c r="E33" s="32" t="n">
        <f aca="false">1/(1+$B$18)^(E24-0.5)</f>
        <v>0.67121411742866</v>
      </c>
      <c r="F33" s="32" t="n">
        <f aca="false">1/(1+$B$18)^(F24-0.5)</f>
        <v>0.598953104215359</v>
      </c>
      <c r="G33" s="32" t="n">
        <f aca="false">1/(1+$B$18)^(G24-0.5)</f>
        <v>0.534471507279261</v>
      </c>
      <c r="H33" s="32" t="n">
        <f aca="false">1/(1+$B$18)^(H24-0.5)</f>
        <v>0.476931816669662</v>
      </c>
      <c r="I33" s="32" t="n">
        <f aca="false">1/(1+$B$18)^(I24-0.5)</f>
        <v>0.425586686388083</v>
      </c>
      <c r="J33" s="32" t="n">
        <f aca="false">1/(1+$B$18)^(J24-0.5)</f>
        <v>0.379769227592212</v>
      </c>
      <c r="K33" s="32" t="n">
        <f aca="false">1/(1+$B$18)^(K24-0.5)</f>
        <v>0.338884346806071</v>
      </c>
    </row>
    <row r="34" customFormat="false" ht="15" hidden="false" customHeight="false" outlineLevel="0" collapsed="false">
      <c r="A34" s="7" t="s">
        <v>82</v>
      </c>
      <c r="B34" s="14" t="n">
        <f aca="false">B32*B33</f>
        <v>1.93617616495511</v>
      </c>
      <c r="C34" s="14" t="n">
        <f aca="false">C32*C33</f>
        <v>2.79835909669178</v>
      </c>
      <c r="D34" s="14" t="n">
        <f aca="false">D32*D33</f>
        <v>3.29092353303318</v>
      </c>
      <c r="E34" s="14" t="n">
        <f aca="false">E32*E33</f>
        <v>3.56572614006732</v>
      </c>
      <c r="F34" s="14" t="n">
        <f aca="false">F32*F33</f>
        <v>3.78594163251642</v>
      </c>
      <c r="G34" s="14" t="n">
        <f aca="false">G32*G33</f>
        <v>3.93749584073614</v>
      </c>
      <c r="H34" s="14" t="n">
        <f aca="false">H32*H33</f>
        <v>4.00962289890995</v>
      </c>
      <c r="I34" s="14" t="n">
        <f aca="false">I32*I33</f>
        <v>3.99607017723534</v>
      </c>
      <c r="J34" s="14" t="n">
        <f aca="false">J32*J33</f>
        <v>3.89591272055778</v>
      </c>
      <c r="K34" s="14" t="n">
        <f aca="false">K32*K33</f>
        <v>3.71383957897566</v>
      </c>
    </row>
    <row r="36" customFormat="false" ht="19.5" hidden="false" customHeight="true" outlineLevel="0" collapsed="false">
      <c r="A36" s="5" t="s">
        <v>83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7" t="s">
        <v>84</v>
      </c>
      <c r="B37" s="14" t="n">
        <f aca="false">SUM(B34:K34)</f>
        <v>34.9300677836787</v>
      </c>
    </row>
    <row r="38" customFormat="false" ht="15" hidden="false" customHeight="false" outlineLevel="0" collapsed="false">
      <c r="A38" s="7" t="s">
        <v>85</v>
      </c>
      <c r="B38" s="14" t="n">
        <f aca="false">K29*(1+$B$10)*(1-$B$14)</f>
        <v>11.8260735751651</v>
      </c>
    </row>
    <row r="39" customFormat="false" ht="15" hidden="false" customHeight="false" outlineLevel="0" collapsed="false">
      <c r="A39" s="7" t="s">
        <v>86</v>
      </c>
      <c r="B39" s="14" t="n">
        <f aca="false">B38*(1-$B$10/$B$16)/($B$18-$B$10)</f>
        <v>114.809246873346</v>
      </c>
      <c r="C39" s="9" t="s">
        <v>87</v>
      </c>
    </row>
    <row r="40" customFormat="false" ht="15" hidden="false" customHeight="false" outlineLevel="0" collapsed="false">
      <c r="A40" s="7" t="s">
        <v>88</v>
      </c>
      <c r="B40" s="14" t="n">
        <f aca="false">B39/(1+$B$18)^9.5</f>
        <v>38.9070566339707</v>
      </c>
    </row>
    <row r="41" customFormat="false" ht="15" hidden="false" customHeight="false" outlineLevel="0" collapsed="false">
      <c r="A41" s="7" t="s">
        <v>89</v>
      </c>
      <c r="B41" s="14" t="n">
        <f aca="false">B37+B40</f>
        <v>73.8371244176494</v>
      </c>
    </row>
    <row r="42" customFormat="false" ht="15" hidden="false" customHeight="false" outlineLevel="0" collapsed="false">
      <c r="A42" s="7" t="s">
        <v>90</v>
      </c>
      <c r="B42" s="14" t="n">
        <f aca="false">B41+$B$19</f>
        <v>73.7071244176494</v>
      </c>
    </row>
    <row r="43" customFormat="false" ht="15" hidden="false" customHeight="false" outlineLevel="0" collapsed="false">
      <c r="A43" s="17" t="s">
        <v>34</v>
      </c>
      <c r="B43" s="22" t="n">
        <f aca="false">B42/$B$20</f>
        <v>187.54993490496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2026-10-22T20:41:11Z</dcterms:created>
  <dc:creator>LDB Finance</dc:creator>
  <dc:description/>
  <dc:language>en-US</dc:language>
  <cp:lastModifiedBy/>
  <dcterms:modified xsi:type="dcterms:W3CDTF">2026-10-22T20:41:11Z</dcterms:modified>
  <cp:revision>0</cp:revision>
  <dc:subject/>
  <dc:title>Vertiv (VRT)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