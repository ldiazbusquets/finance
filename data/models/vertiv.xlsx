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<sst xmlns="http://schemas.openxmlformats.org/spreadsheetml/2006/main" count="214" uniqueCount="93">
  <si>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</si>
  <si>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Vertiv (VRT)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</si>
  <si>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</si>
  <si>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</si>
  <si>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</si>
  <si>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</si>
  <si>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</si>
  <si>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</si>
  <si>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</si>
  <si>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</si>
  <si>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</si>
  <si>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</si>
  <si>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</si>
  <si>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</si>
  <si>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</si>
  <si>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</si>
  <si>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</si>
  <si>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</si>
  <si>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</si>
  <si>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</si>
  <si>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</si>
  <si>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</si>
  <si>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</si>
  <si>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</si>
  <si>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</si>
  <si>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</si>
  <si>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</si>
  <si>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</si>
  <si>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</si>
  <si>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</si>
  <si>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</si>
  <si>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</si>
  <si>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</si>
  <si>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</si>
  <si>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</si>
  <si>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</si>
  <si>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</si>
  <si>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</si>
  <si>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https://github.com/ldiazbusquets/finance/blob/main/_source/models/vrt.py,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</si>
  <si>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</si>
  <si>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</si>
  <si>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</si>
  <si>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</si>
  <si>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$14.0B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</si>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</sst>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1.83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0.13385</v>
      </c>
    </row>
    <row r="11" customFormat="false" ht="15" hidden="false" customHeight="false" outlineLevel="0" collapsed="false">
      <c r="A11" s="7" t="s">
        <v>11</v>
      </c>
      <c r="B11" s="12" t="n">
        <v>203.56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0.393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79.99908</v>
      </c>
    </row>
    <row r="14" customFormat="false" ht="15" hidden="false" customHeight="false" outlineLevel="0" collapsed="false">
      <c r="A14" s="7" t="s">
        <v>16</v>
      </c>
      <c r="B14" s="15" t="n">
        <v>2.94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0.130645527512483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65.3448912429652</v>
      </c>
      <c r="C21" s="21" t="n">
        <f aca="false">Base!$B$43</f>
        <v>116.917496050189</v>
      </c>
      <c r="D21" s="21" t="n">
        <f aca="false">Bull!$B$43</f>
        <v>187.54993490496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121.682454562076</v>
      </c>
    </row>
    <row r="24" customFormat="false" ht="15" hidden="false" customHeight="false" outlineLevel="0" collapsed="false">
      <c r="A24" s="7" t="s">
        <v>29</v>
      </c>
      <c r="C24" s="12" t="n">
        <v>203.56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-0.40222806758658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0.09</v>
      </c>
      <c r="C29" s="26" t="n">
        <f aca="false">(SUMPRODUCT(Base!$B$32:$K$32,1/(1+B29)^(Base!$B$24:$K$24-0.5))+Base!$K$29*(1+Base!$B$10)*(1-Base!$B$14)*(1-Base!$B$10/Base!$B$16)/(B29-Base!$B$10)/(1+B29)^9.5+Base!$B$19)/Base!$B$20</f>
        <v>204.829298055574</v>
      </c>
    </row>
    <row r="30" customFormat="false" ht="15" hidden="false" customHeight="false" outlineLevel="0" collapsed="false">
      <c r="A30" s="24"/>
      <c r="B30" s="25" t="n">
        <v>0.1</v>
      </c>
      <c r="C30" s="26" t="n">
        <f aca="false">(SUMPRODUCT(Base!$B$32:$K$32,1/(1+B30)^(Base!$B$24:$K$24-0.5))+Base!$K$29*(1+Base!$B$10)*(1-Base!$B$14)*(1-Base!$B$10/Base!$B$16)/(B30-Base!$B$10)/(1+B30)^9.5+Base!$B$19)/Base!$B$20</f>
        <v>173.59965798219</v>
      </c>
    </row>
    <row r="31" customFormat="false" ht="15" hidden="false" customHeight="false" outlineLevel="0" collapsed="false">
      <c r="A31" s="24"/>
      <c r="B31" s="25" t="n">
        <v>0.11</v>
      </c>
      <c r="C31" s="26" t="n">
        <f aca="false">(SUMPRODUCT(Base!$B$32:$K$32,1/(1+B31)^(Base!$B$24:$K$24-0.5))+Base!$K$29*(1+Base!$B$10)*(1-Base!$B$14)*(1-Base!$B$10/Base!$B$16)/(B31-Base!$B$10)/(1+B31)^9.5+Base!$B$19)/Base!$B$20</f>
        <v>150.255039975881</v>
      </c>
    </row>
    <row r="32" customFormat="false" ht="15" hidden="false" customHeight="false" outlineLevel="0" collapsed="false">
      <c r="A32" s="24"/>
      <c r="B32" s="25" t="n">
        <v>0.12</v>
      </c>
      <c r="C32" s="26" t="n">
        <f aca="false">(SUMPRODUCT(Base!$B$32:$K$32,1/(1+B32)^(Base!$B$24:$K$24-0.5))+Base!$K$29*(1+Base!$B$10)*(1-Base!$B$14)*(1-Base!$B$10/Base!$B$16)/(B32-Base!$B$10)/(1+B32)^9.5+Base!$B$19)/Base!$B$20</f>
        <v>132.164007534494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0.25</v>
      </c>
    </row>
    <row r="9" customFormat="false" ht="15" hidden="false" customHeight="false" outlineLevel="0" collapsed="false">
      <c r="A9" s="7" t="s">
        <v>45</v>
      </c>
      <c r="B9" s="16" t="n">
        <v>0.16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0.225</v>
      </c>
    </row>
    <row r="12" customFormat="false" ht="15" hidden="false" customHeight="false" outlineLevel="0" collapsed="false">
      <c r="A12" s="7" t="s">
        <v>49</v>
      </c>
      <c r="B12" s="16" t="n">
        <v>0.245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0.130645527512483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0.25</v>
      </c>
      <c r="C26" s="23" t="n">
        <f aca="false">$B$9</f>
        <v>0.16</v>
      </c>
      <c r="D26" s="23" t="n">
        <f aca="false">$B$9+($B$10-$B$9)*(D24-2)/8</f>
        <v>0.14375</v>
      </c>
      <c r="E26" s="23" t="n">
        <f aca="false">$B$9+($B$10-$B$9)*(E24-2)/8</f>
        <v>0.1275</v>
      </c>
      <c r="F26" s="23" t="n">
        <f aca="false">$B$9+($B$10-$B$9)*(F24-2)/8</f>
        <v>0.11125</v>
      </c>
      <c r="G26" s="23" t="n">
        <f aca="false">$B$9+($B$10-$B$9)*(G24-2)/8</f>
        <v>0.095</v>
      </c>
      <c r="H26" s="23" t="n">
        <f aca="false">$B$9+($B$10-$B$9)*(H24-2)/8</f>
        <v>0.07875</v>
      </c>
      <c r="I26" s="23" t="n">
        <f aca="false">$B$9+($B$10-$B$9)*(I24-2)/8</f>
        <v>0.0625</v>
      </c>
      <c r="J26" s="23" t="n">
        <f aca="false">$B$9+($B$10-$B$9)*(J24-2)/8</f>
        <v>0.04625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17.5</v>
      </c>
      <c r="C27" s="14" t="n">
        <f aca="false">B27*(1+C26)</f>
        <v>20.3</v>
      </c>
      <c r="D27" s="14" t="n">
        <f aca="false">C27*(1+D26)</f>
        <v>23.218125</v>
      </c>
      <c r="E27" s="14" t="n">
        <f aca="false">D27*(1+E26)</f>
        <v>26.1784359375</v>
      </c>
      <c r="F27" s="14" t="n">
        <f aca="false">E27*(1+F26)</f>
        <v>29.0907869355469</v>
      </c>
      <c r="G27" s="14" t="n">
        <f aca="false">F27*(1+G26)</f>
        <v>31.8544116944238</v>
      </c>
      <c r="H27" s="14" t="n">
        <f aca="false">G27*(1+H26)</f>
        <v>34.3629466153597</v>
      </c>
      <c r="I27" s="14" t="n">
        <f aca="false">H27*(1+I26)</f>
        <v>36.5106307788197</v>
      </c>
      <c r="J27" s="14" t="n">
        <f aca="false">I27*(1+J26)</f>
        <v>38.1992474523401</v>
      </c>
      <c r="K27" s="14" t="n">
        <f aca="false">J27*(1+K26)</f>
        <v>39.3452248759103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0.231666666666667</v>
      </c>
      <c r="C28" s="23" t="n">
        <f aca="false">$B$11+($B$12-$B$11)*MIN(1,C24/$B$13)</f>
        <v>0.238333333333333</v>
      </c>
      <c r="D28" s="23" t="n">
        <f aca="false">$B$11+($B$12-$B$11)*MIN(1,D24/$B$13)</f>
        <v>0.245</v>
      </c>
      <c r="E28" s="23" t="n">
        <f aca="false">$B$11+($B$12-$B$11)*MIN(1,E24/$B$13)</f>
        <v>0.245</v>
      </c>
      <c r="F28" s="23" t="n">
        <f aca="false">$B$11+($B$12-$B$11)*MIN(1,F24/$B$13)</f>
        <v>0.245</v>
      </c>
      <c r="G28" s="23" t="n">
        <f aca="false">$B$11+($B$12-$B$11)*MIN(1,G24/$B$13)</f>
        <v>0.245</v>
      </c>
      <c r="H28" s="23" t="n">
        <f aca="false">$B$11+($B$12-$B$11)*MIN(1,H24/$B$13)</f>
        <v>0.245</v>
      </c>
      <c r="I28" s="23" t="n">
        <f aca="false">$B$11+($B$12-$B$11)*MIN(1,I24/$B$13)</f>
        <v>0.245</v>
      </c>
      <c r="J28" s="23" t="n">
        <f aca="false">$B$11+($B$12-$B$11)*MIN(1,J24/$B$13)</f>
        <v>0.245</v>
      </c>
      <c r="K28" s="23" t="n">
        <f aca="false">$B$11+($B$12-$B$11)*MIN(1,K24/$B$13)</f>
        <v>0.245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4.05416666666667</v>
      </c>
      <c r="C29" s="14" t="n">
        <f aca="false">C27*C28</f>
        <v>4.83816666666667</v>
      </c>
      <c r="D29" s="14" t="n">
        <f aca="false">D27*D28</f>
        <v>5.688440625</v>
      </c>
      <c r="E29" s="14" t="n">
        <f aca="false">E27*E28</f>
        <v>6.4137168046875</v>
      </c>
      <c r="F29" s="14" t="n">
        <f aca="false">F27*F28</f>
        <v>7.12724279920898</v>
      </c>
      <c r="G29" s="14" t="n">
        <f aca="false">G27*G28</f>
        <v>7.80433086513384</v>
      </c>
      <c r="H29" s="14" t="n">
        <f aca="false">H27*H28</f>
        <v>8.41892192076313</v>
      </c>
      <c r="I29" s="14" t="n">
        <f aca="false">I27*I28</f>
        <v>8.94510454081082</v>
      </c>
      <c r="J29" s="14" t="n">
        <f aca="false">J27*J28</f>
        <v>9.35881562582332</v>
      </c>
      <c r="K29" s="14" t="n">
        <f aca="false">K27*K28</f>
        <v>9.63958009459802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3.20279166666667</v>
      </c>
      <c r="C30" s="14" t="n">
        <f aca="false">C29*(1-$B$14)</f>
        <v>3.82215166666667</v>
      </c>
      <c r="D30" s="14" t="n">
        <f aca="false">D29*(1-$B$14)</f>
        <v>4.49386809375</v>
      </c>
      <c r="E30" s="14" t="n">
        <f aca="false">E29*(1-$B$14)</f>
        <v>5.06683627570313</v>
      </c>
      <c r="F30" s="14" t="n">
        <f aca="false">F29*(1-$B$14)</f>
        <v>5.6305218113751</v>
      </c>
      <c r="G30" s="14" t="n">
        <f aca="false">G29*(1-$B$14)</f>
        <v>6.16542138345573</v>
      </c>
      <c r="H30" s="14" t="n">
        <f aca="false">H29*(1-$B$14)</f>
        <v>6.65094831740287</v>
      </c>
      <c r="I30" s="14" t="n">
        <f aca="false">I29*(1-$B$14)</f>
        <v>7.06663258724055</v>
      </c>
      <c r="J30" s="14" t="n">
        <f aca="false">J29*(1-$B$14)</f>
        <v>7.39346434440042</v>
      </c>
      <c r="K30" s="14" t="n">
        <f aca="false">K29*(1-$B$14)</f>
        <v>7.61526827473244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1.16666666666667</v>
      </c>
      <c r="C31" s="14" t="n">
        <f aca="false">IF(ISNUMBER(C25),C25,(C27-B27)/$B$15)</f>
        <v>0.933333333333332</v>
      </c>
      <c r="D31" s="14" t="n">
        <f aca="false">IF(ISNUMBER(D25),D25,(D27-C27)/$B$15)</f>
        <v>0.972708333333333</v>
      </c>
      <c r="E31" s="14" t="n">
        <f aca="false">IF(ISNUMBER(E25),E25,(E27-D27)/$B$15)</f>
        <v>0.986770312499999</v>
      </c>
      <c r="F31" s="14" t="n">
        <f aca="false">IF(ISNUMBER(F25),F25,(F27-E27)/$B$15)</f>
        <v>0.970783666015625</v>
      </c>
      <c r="G31" s="14" t="n">
        <f aca="false">IF(ISNUMBER(G25),G25,(G27-F27)/$B$15)</f>
        <v>0.921208252958984</v>
      </c>
      <c r="H31" s="14" t="n">
        <f aca="false">IF(ISNUMBER(H25),H25,(H27-G27)/$B$15)</f>
        <v>0.836178306978625</v>
      </c>
      <c r="I31" s="14" t="n">
        <f aca="false">IF(ISNUMBER(I25),I25,(I27-H27)/$B$15)</f>
        <v>0.715894721153326</v>
      </c>
      <c r="J31" s="14" t="n">
        <f aca="false">IF(ISNUMBER(J25),J25,(J27-I27)/$B$15)</f>
        <v>0.562872224506802</v>
      </c>
      <c r="K31" s="14" t="n">
        <f aca="false">IF(ISNUMBER(K25),K25,(K27-J27)/$B$15)</f>
        <v>0.3819924745234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2.036125</v>
      </c>
      <c r="C32" s="31" t="n">
        <f aca="false">C30-C31</f>
        <v>2.88881833333333</v>
      </c>
      <c r="D32" s="31" t="n">
        <f aca="false">D30-D31</f>
        <v>3.52115976041667</v>
      </c>
      <c r="E32" s="31" t="n">
        <f aca="false">E30-E31</f>
        <v>4.08006596320313</v>
      </c>
      <c r="F32" s="31" t="n">
        <f aca="false">F30-F31</f>
        <v>4.65973814535947</v>
      </c>
      <c r="G32" s="31" t="n">
        <f aca="false">G30-G31</f>
        <v>5.24421313049675</v>
      </c>
      <c r="H32" s="31" t="n">
        <f aca="false">H30-H31</f>
        <v>5.81477001042424</v>
      </c>
      <c r="I32" s="31" t="n">
        <f aca="false">I30-I31</f>
        <v>6.35073786608722</v>
      </c>
      <c r="J32" s="31" t="n">
        <f aca="false">J30-J31</f>
        <v>6.83059211989362</v>
      </c>
      <c r="K32" s="31" t="n">
        <f aca="false">K30-K31</f>
        <v>7.23327580020904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0.940452283805552</v>
      </c>
      <c r="C33" s="32" t="n">
        <f aca="false">1/(1+$B$18)^(C24-0.5)</f>
        <v>0.831783490865282</v>
      </c>
      <c r="D33" s="32" t="n">
        <f aca="false">1/(1+$B$18)^(D24-0.5)</f>
        <v>0.735671322819697</v>
      </c>
      <c r="E33" s="32" t="n">
        <f aca="false">1/(1+$B$18)^(E24-0.5)</f>
        <v>0.650664867916859</v>
      </c>
      <c r="F33" s="32" t="n">
        <f aca="false">1/(1+$B$18)^(F24-0.5)</f>
        <v>0.575480866535047</v>
      </c>
      <c r="G33" s="32" t="n">
        <f aca="false">1/(1+$B$18)^(G24-0.5)</f>
        <v>0.508984339062619</v>
      </c>
      <c r="H33" s="32" t="n">
        <f aca="false">1/(1+$B$18)^(H24-0.5)</f>
        <v>0.450171452216707</v>
      </c>
      <c r="I33" s="32" t="n">
        <f aca="false">1/(1+$B$18)^(I24-0.5)</f>
        <v>0.398154365150254</v>
      </c>
      <c r="J33" s="32" t="n">
        <f aca="false">1/(1+$B$18)^(J24-0.5)</f>
        <v>0.352147826583835</v>
      </c>
      <c r="K33" s="32" t="n">
        <f aca="false">1/(1+$B$18)^(K24-0.5)</f>
        <v>0.311457320632215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1.91487840636358</v>
      </c>
      <c r="C34" s="14" t="n">
        <f aca="false">C32*C33</f>
        <v>2.40287139777563</v>
      </c>
      <c r="D34" s="14" t="n">
        <f aca="false">D32*D33</f>
        <v>2.59041625880522</v>
      </c>
      <c r="E34" s="14" t="n">
        <f aca="false">E32*E33</f>
        <v>2.65475558103963</v>
      </c>
      <c r="F34" s="14" t="n">
        <f aca="false">F32*F33</f>
        <v>2.68159014571788</v>
      </c>
      <c r="G34" s="14" t="n">
        <f aca="false">G32*G33</f>
        <v>2.66922235412939</v>
      </c>
      <c r="H34" s="14" t="n">
        <f aca="false">H32*H33</f>
        <v>2.61764345989884</v>
      </c>
      <c r="I34" s="14" t="n">
        <f aca="false">I32*I33</f>
        <v>2.52857400330764</v>
      </c>
      <c r="J34" s="14" t="n">
        <f aca="false">J32*J33</f>
        <v>2.40537816930121</v>
      </c>
      <c r="K34" s="14" t="n">
        <f aca="false">K32*K33</f>
        <v>2.25285670012695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24.718186476466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7.84372632297441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68.5820754763434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21.3603894712582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46.0785759477242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45.9485759477242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116.917496050189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0.140645527512483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15.68</v>
      </c>
      <c r="C27" s="14" t="n">
        <f aca="false">B27*(1+C26)</f>
        <v>16.9344</v>
      </c>
      <c r="D27" s="14" t="n">
        <f aca="false">C27*(1+D26)</f>
        <v>18.183312</v>
      </c>
      <c r="E27" s="14" t="n">
        <f aca="false">D27*(1+E26)</f>
        <v>19.41068556</v>
      </c>
      <c r="F27" s="14" t="n">
        <f aca="false">E27*(1+F26)</f>
        <v>20.59959005055</v>
      </c>
      <c r="G27" s="14" t="n">
        <f aca="false">F27*(1+G26)</f>
        <v>21.7325675033303</v>
      </c>
      <c r="H27" s="14" t="n">
        <f aca="false">G27*(1+H26)</f>
        <v>22.7920301691176</v>
      </c>
      <c r="I27" s="14" t="n">
        <f aca="false">H27*(1+I26)</f>
        <v>23.7606914513051</v>
      </c>
      <c r="J27" s="14" t="n">
        <f aca="false">I27*(1+J26)</f>
        <v>24.6220165164149</v>
      </c>
      <c r="K27" s="14" t="n">
        <f aca="false">J27*(1+K26)</f>
        <v>25.3606770119074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</v>
      </c>
      <c r="C28" s="23" t="n">
        <f aca="false">$B$11+($B$12-$B$11)*MIN(1,C24/$B$13)</f>
        <v>0.21</v>
      </c>
      <c r="D28" s="23" t="n">
        <f aca="false">$B$11+($B$12-$B$11)*MIN(1,D24/$B$13)</f>
        <v>0.21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3.2928</v>
      </c>
      <c r="C29" s="14" t="n">
        <f aca="false">C27*C28</f>
        <v>3.556224</v>
      </c>
      <c r="D29" s="14" t="n">
        <f aca="false">D27*D28</f>
        <v>3.81849552</v>
      </c>
      <c r="E29" s="14" t="n">
        <f aca="false">E27*E28</f>
        <v>4.0762439676</v>
      </c>
      <c r="F29" s="14" t="n">
        <f aca="false">F27*F28</f>
        <v>4.3259139106155</v>
      </c>
      <c r="G29" s="14" t="n">
        <f aca="false">G27*G28</f>
        <v>4.56383917569935</v>
      </c>
      <c r="H29" s="14" t="n">
        <f aca="false">H27*H28</f>
        <v>4.7863263355147</v>
      </c>
      <c r="I29" s="14" t="n">
        <f aca="false">I27*I28</f>
        <v>4.98974520477407</v>
      </c>
      <c r="J29" s="14" t="n">
        <f aca="false">J27*J28</f>
        <v>5.17062346844713</v>
      </c>
      <c r="K29" s="14" t="n">
        <f aca="false">K27*K28</f>
        <v>5.32574217250054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2.601312</v>
      </c>
      <c r="C30" s="14" t="n">
        <f aca="false">C29*(1-$B$14)</f>
        <v>2.80941696</v>
      </c>
      <c r="D30" s="14" t="n">
        <f aca="false">D29*(1-$B$14)</f>
        <v>3.0166114608</v>
      </c>
      <c r="E30" s="14" t="n">
        <f aca="false">E29*(1-$B$14)</f>
        <v>3.220232734404</v>
      </c>
      <c r="F30" s="14" t="n">
        <f aca="false">F29*(1-$B$14)</f>
        <v>3.41747198938625</v>
      </c>
      <c r="G30" s="14" t="n">
        <f aca="false">G29*(1-$B$14)</f>
        <v>3.60543294880249</v>
      </c>
      <c r="H30" s="14" t="n">
        <f aca="false">H29*(1-$B$14)</f>
        <v>3.78119780505661</v>
      </c>
      <c r="I30" s="14" t="n">
        <f aca="false">I29*(1-$B$14)</f>
        <v>3.94189871177152</v>
      </c>
      <c r="J30" s="14" t="n">
        <f aca="false">J29*(1-$B$14)</f>
        <v>4.08479254007323</v>
      </c>
      <c r="K30" s="14" t="n">
        <f aca="false">K29*(1-$B$14)</f>
        <v>4.20733631627543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0.560000000000001</v>
      </c>
      <c r="C31" s="14" t="n">
        <f aca="false">IF(ISNUMBER(C25),C25,(C27-B27)/$B$15)</f>
        <v>0.418133333333334</v>
      </c>
      <c r="D31" s="14" t="n">
        <f aca="false">IF(ISNUMBER(D25),D25,(D27-C27)/$B$15)</f>
        <v>0.416304</v>
      </c>
      <c r="E31" s="14" t="n">
        <f aca="false">IF(ISNUMBER(E25),E25,(E27-D27)/$B$15)</f>
        <v>0.409124519999999</v>
      </c>
      <c r="F31" s="14" t="n">
        <f aca="false">IF(ISNUMBER(F25),F25,(F27-E27)/$B$15)</f>
        <v>0.396301496850001</v>
      </c>
      <c r="G31" s="14" t="n">
        <f aca="false">IF(ISNUMBER(G25),G25,(G27-F27)/$B$15)</f>
        <v>0.37765915092675</v>
      </c>
      <c r="H31" s="14" t="n">
        <f aca="false">IF(ISNUMBER(H25),H25,(H27-G27)/$B$15)</f>
        <v>0.353154221929117</v>
      </c>
      <c r="I31" s="14" t="n">
        <f aca="false">IF(ISNUMBER(I25),I25,(I27-H27)/$B$15)</f>
        <v>0.322887094062499</v>
      </c>
      <c r="J31" s="14" t="n">
        <f aca="false">IF(ISNUMBER(J25),J25,(J27-I27)/$B$15)</f>
        <v>0.287108355036602</v>
      </c>
      <c r="K31" s="14" t="n">
        <f aca="false">IF(ISNUMBER(K25),K25,(K27-J27)/$B$15)</f>
        <v>0.246220165164149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2.041312</v>
      </c>
      <c r="C32" s="31" t="n">
        <f aca="false">C30-C31</f>
        <v>2.39128362666667</v>
      </c>
      <c r="D32" s="31" t="n">
        <f aca="false">D30-D31</f>
        <v>2.6003074608</v>
      </c>
      <c r="E32" s="31" t="n">
        <f aca="false">E30-E31</f>
        <v>2.811108214404</v>
      </c>
      <c r="F32" s="31" t="n">
        <f aca="false">F30-F31</f>
        <v>3.02117049253625</v>
      </c>
      <c r="G32" s="31" t="n">
        <f aca="false">G30-G31</f>
        <v>3.22777379787574</v>
      </c>
      <c r="H32" s="31" t="n">
        <f aca="false">H30-H31</f>
        <v>3.42804358312749</v>
      </c>
      <c r="I32" s="31" t="n">
        <f aca="false">I30-I31</f>
        <v>3.61901161770902</v>
      </c>
      <c r="J32" s="31" t="n">
        <f aca="false">J30-J31</f>
        <v>3.79768418503663</v>
      </c>
      <c r="K32" s="31" t="n">
        <f aca="false">K30-K31</f>
        <v>3.96111615111128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0.936320752254215</v>
      </c>
      <c r="C33" s="32" t="n">
        <f aca="false">1/(1+$B$18)^(C24-0.5)</f>
        <v>0.820869174226406</v>
      </c>
      <c r="D33" s="32" t="n">
        <f aca="false">1/(1+$B$18)^(D24-0.5)</f>
        <v>0.719653173950154</v>
      </c>
      <c r="E33" s="32" t="n">
        <f aca="false">1/(1+$B$18)^(E24-0.5)</f>
        <v>0.630917455591635</v>
      </c>
      <c r="F33" s="32" t="n">
        <f aca="false">1/(1+$B$18)^(F24-0.5)</f>
        <v>0.553123157347172</v>
      </c>
      <c r="G33" s="32" t="n">
        <f aca="false">1/(1+$B$18)^(G24-0.5)</f>
        <v>0.484921164380859</v>
      </c>
      <c r="H33" s="32" t="n">
        <f aca="false">1/(1+$B$18)^(H24-0.5)</f>
        <v>0.425128712369016</v>
      </c>
      <c r="I33" s="32" t="n">
        <f aca="false">1/(1+$B$18)^(I24-0.5)</f>
        <v>0.372708875908308</v>
      </c>
      <c r="J33" s="32" t="n">
        <f aca="false">1/(1+$B$18)^(J24-0.5)</f>
        <v>0.326752586073879</v>
      </c>
      <c r="K33" s="32" t="n">
        <f aca="false">1/(1+$B$18)^(K24-0.5)</f>
        <v>0.286462865274596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1.91132278742556</v>
      </c>
      <c r="C34" s="14" t="n">
        <f aca="false">C32*C33</f>
        <v>1.96293101596299</v>
      </c>
      <c r="D34" s="14" t="n">
        <f aca="false">D32*D33</f>
        <v>1.87131951741099</v>
      </c>
      <c r="E34" s="14" t="n">
        <f aca="false">E32*E33</f>
        <v>1.77357724202452</v>
      </c>
      <c r="F34" s="14" t="n">
        <f aca="false">F32*F33</f>
        <v>1.67107936171576</v>
      </c>
      <c r="G34" s="14" t="n">
        <f aca="false">G32*G33</f>
        <v>1.56521582842393</v>
      </c>
      <c r="H34" s="14" t="n">
        <f aca="false">H32*H33</f>
        <v>1.45735975443986</v>
      </c>
      <c r="I34" s="14" t="n">
        <f aca="false">I32*I33</f>
        <v>1.34883775193543</v>
      </c>
      <c r="J34" s="14" t="n">
        <f aca="false">J32*J33</f>
        <v>1.24090312855259</v>
      </c>
      <c r="K34" s="14" t="n">
        <f aca="false">K32*K33</f>
        <v>1.13471268233282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15.9372590702244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4.33355640576369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34.4661887634077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9.87328318826087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25.8105422584853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25.6805422584853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65.3448912429652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0.35</v>
      </c>
    </row>
    <row r="9" customFormat="false" ht="15" hidden="false" customHeight="false" outlineLevel="0" collapsed="false">
      <c r="A9" s="7" t="s">
        <v>45</v>
      </c>
      <c r="B9" s="16" t="n">
        <v>0.22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0.235</v>
      </c>
    </row>
    <row r="12" customFormat="false" ht="15" hidden="false" customHeight="false" outlineLevel="0" collapsed="false">
      <c r="A12" s="7" t="s">
        <v>49</v>
      </c>
      <c r="B12" s="16" t="n">
        <v>0.27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0.35</v>
      </c>
      <c r="C26" s="23" t="n">
        <f aca="false">$B$9</f>
        <v>0.22</v>
      </c>
      <c r="D26" s="23" t="n">
        <f aca="false">$B$9+($B$10-$B$9)*(D24-2)/8</f>
        <v>0.19625</v>
      </c>
      <c r="E26" s="23" t="n">
        <f aca="false">$B$9+($B$10-$B$9)*(E24-2)/8</f>
        <v>0.1725</v>
      </c>
      <c r="F26" s="23" t="n">
        <f aca="false">$B$9+($B$10-$B$9)*(F24-2)/8</f>
        <v>0.14875</v>
      </c>
      <c r="G26" s="23" t="n">
        <f aca="false">$B$9+($B$10-$B$9)*(G24-2)/8</f>
        <v>0.125</v>
      </c>
      <c r="H26" s="23" t="n">
        <f aca="false">$B$9+($B$10-$B$9)*(H24-2)/8</f>
        <v>0.10125</v>
      </c>
      <c r="I26" s="23" t="n">
        <f aca="false">$B$9+($B$10-$B$9)*(I24-2)/8</f>
        <v>0.0775</v>
      </c>
      <c r="J26" s="23" t="n">
        <f aca="false">$B$9+($B$10-$B$9)*(J24-2)/8</f>
        <v>0.05375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18.9</v>
      </c>
      <c r="C27" s="14" t="n">
        <f aca="false">B27*(1+C26)</f>
        <v>23.058</v>
      </c>
      <c r="D27" s="14" t="n">
        <f aca="false">C27*(1+D26)</f>
        <v>27.5831325</v>
      </c>
      <c r="E27" s="14" t="n">
        <f aca="false">D27*(1+E26)</f>
        <v>32.34122285625</v>
      </c>
      <c r="F27" s="14" t="n">
        <f aca="false">E27*(1+F26)</f>
        <v>37.1519797561172</v>
      </c>
      <c r="G27" s="14" t="n">
        <f aca="false">F27*(1+G26)</f>
        <v>41.7959772256318</v>
      </c>
      <c r="H27" s="14" t="n">
        <f aca="false">G27*(1+H26)</f>
        <v>46.0278199197271</v>
      </c>
      <c r="I27" s="14" t="n">
        <f aca="false">H27*(1+I26)</f>
        <v>49.5949759635059</v>
      </c>
      <c r="J27" s="14" t="n">
        <f aca="false">I27*(1+J26)</f>
        <v>52.2607059215443</v>
      </c>
      <c r="K27" s="14" t="n">
        <f aca="false">J27*(1+K26)</f>
        <v>53.8285270991907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0.246666666666667</v>
      </c>
      <c r="C28" s="23" t="n">
        <f aca="false">$B$11+($B$12-$B$11)*MIN(1,C24/$B$13)</f>
        <v>0.258333333333333</v>
      </c>
      <c r="D28" s="23" t="n">
        <f aca="false">$B$11+($B$12-$B$11)*MIN(1,D24/$B$13)</f>
        <v>0.27</v>
      </c>
      <c r="E28" s="23" t="n">
        <f aca="false">$B$11+($B$12-$B$11)*MIN(1,E24/$B$13)</f>
        <v>0.27</v>
      </c>
      <c r="F28" s="23" t="n">
        <f aca="false">$B$11+($B$12-$B$11)*MIN(1,F24/$B$13)</f>
        <v>0.27</v>
      </c>
      <c r="G28" s="23" t="n">
        <f aca="false">$B$11+($B$12-$B$11)*MIN(1,G24/$B$13)</f>
        <v>0.27</v>
      </c>
      <c r="H28" s="23" t="n">
        <f aca="false">$B$11+($B$12-$B$11)*MIN(1,H24/$B$13)</f>
        <v>0.27</v>
      </c>
      <c r="I28" s="23" t="n">
        <f aca="false">$B$11+($B$12-$B$11)*MIN(1,I24/$B$13)</f>
        <v>0.27</v>
      </c>
      <c r="J28" s="23" t="n">
        <f aca="false">$B$11+($B$12-$B$11)*MIN(1,J24/$B$13)</f>
        <v>0.27</v>
      </c>
      <c r="K28" s="23" t="n">
        <f aca="false">$B$11+($B$12-$B$11)*MIN(1,K24/$B$13)</f>
        <v>0.27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4.662</v>
      </c>
      <c r="C29" s="14" t="n">
        <f aca="false">C27*C28</f>
        <v>5.95665</v>
      </c>
      <c r="D29" s="14" t="n">
        <f aca="false">D27*D28</f>
        <v>7.447445775</v>
      </c>
      <c r="E29" s="14" t="n">
        <f aca="false">E27*E28</f>
        <v>8.7321301711875</v>
      </c>
      <c r="F29" s="14" t="n">
        <f aca="false">F27*F28</f>
        <v>10.0310345341516</v>
      </c>
      <c r="G29" s="14" t="n">
        <f aca="false">G27*G28</f>
        <v>11.2849138509206</v>
      </c>
      <c r="H29" s="14" t="n">
        <f aca="false">H27*H28</f>
        <v>12.4275113783263</v>
      </c>
      <c r="I29" s="14" t="n">
        <f aca="false">I27*I28</f>
        <v>13.3906435101466</v>
      </c>
      <c r="J29" s="14" t="n">
        <f aca="false">J27*J28</f>
        <v>14.110390598817</v>
      </c>
      <c r="K29" s="14" t="n">
        <f aca="false">K27*K28</f>
        <v>14.5337023167815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3.68298</v>
      </c>
      <c r="C30" s="14" t="n">
        <f aca="false">C29*(1-$B$14)</f>
        <v>4.7057535</v>
      </c>
      <c r="D30" s="14" t="n">
        <f aca="false">D29*(1-$B$14)</f>
        <v>5.88348216225</v>
      </c>
      <c r="E30" s="14" t="n">
        <f aca="false">E29*(1-$B$14)</f>
        <v>6.89838283523813</v>
      </c>
      <c r="F30" s="14" t="n">
        <f aca="false">F29*(1-$B$14)</f>
        <v>7.9245172819798</v>
      </c>
      <c r="G30" s="14" t="n">
        <f aca="false">G29*(1-$B$14)</f>
        <v>8.91508194222727</v>
      </c>
      <c r="H30" s="14" t="n">
        <f aca="false">H29*(1-$B$14)</f>
        <v>9.81773398887778</v>
      </c>
      <c r="I30" s="14" t="n">
        <f aca="false">I29*(1-$B$14)</f>
        <v>10.5786083730158</v>
      </c>
      <c r="J30" s="14" t="n">
        <f aca="false">J29*(1-$B$14)</f>
        <v>11.1472085730654</v>
      </c>
      <c r="K30" s="14" t="n">
        <f aca="false">K29*(1-$B$14)</f>
        <v>11.4816248302574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1.63333333333333</v>
      </c>
      <c r="C31" s="14" t="n">
        <f aca="false">IF(ISNUMBER(C25),C25,(C27-B27)/$B$15)</f>
        <v>1.386</v>
      </c>
      <c r="D31" s="14" t="n">
        <f aca="false">IF(ISNUMBER(D25),D25,(D27-C27)/$B$15)</f>
        <v>1.5083775</v>
      </c>
      <c r="E31" s="14" t="n">
        <f aca="false">IF(ISNUMBER(E25),E25,(E27-D27)/$B$15)</f>
        <v>1.58603011875</v>
      </c>
      <c r="F31" s="14" t="n">
        <f aca="false">IF(ISNUMBER(F25),F25,(F27-E27)/$B$15)</f>
        <v>1.60358563328906</v>
      </c>
      <c r="G31" s="14" t="n">
        <f aca="false">IF(ISNUMBER(G25),G25,(G27-F27)/$B$15)</f>
        <v>1.54799915650488</v>
      </c>
      <c r="H31" s="14" t="n">
        <f aca="false">IF(ISNUMBER(H25),H25,(H27-G27)/$B$15)</f>
        <v>1.41061423136508</v>
      </c>
      <c r="I31" s="14" t="n">
        <f aca="false">IF(ISNUMBER(I25),I25,(I27-H27)/$B$15)</f>
        <v>1.18905201459295</v>
      </c>
      <c r="J31" s="14" t="n">
        <f aca="false">IF(ISNUMBER(J25),J25,(J27-I27)/$B$15)</f>
        <v>0.88857665267948</v>
      </c>
      <c r="K31" s="14" t="n">
        <f aca="false">IF(ISNUMBER(K25),K25,(K27-J27)/$B$15)</f>
        <v>0.522607059215443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2.04964666666667</v>
      </c>
      <c r="C32" s="31" t="n">
        <f aca="false">C30-C31</f>
        <v>3.3197535</v>
      </c>
      <c r="D32" s="31" t="n">
        <f aca="false">D30-D31</f>
        <v>4.37510466225</v>
      </c>
      <c r="E32" s="31" t="n">
        <f aca="false">E30-E31</f>
        <v>5.31235271648813</v>
      </c>
      <c r="F32" s="31" t="n">
        <f aca="false">F30-F31</f>
        <v>6.32093164869073</v>
      </c>
      <c r="G32" s="31" t="n">
        <f aca="false">G30-G31</f>
        <v>7.36708278572239</v>
      </c>
      <c r="H32" s="31" t="n">
        <f aca="false">H30-H31</f>
        <v>8.40711975751271</v>
      </c>
      <c r="I32" s="31" t="n">
        <f aca="false">I30-I31</f>
        <v>9.38955635842286</v>
      </c>
      <c r="J32" s="31" t="n">
        <f aca="false">J30-J31</f>
        <v>10.2586319203859</v>
      </c>
      <c r="K32" s="31" t="n">
        <f aca="false">K30-K31</f>
        <v>10.9590177710419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0.944638993853464</v>
      </c>
      <c r="C33" s="32" t="n">
        <f aca="false">1/(1+$B$18)^(C24-0.5)</f>
        <v>0.842941831883536</v>
      </c>
      <c r="D33" s="32" t="n">
        <f aca="false">1/(1+$B$18)^(D24-0.5)</f>
        <v>0.752193098699666</v>
      </c>
      <c r="E33" s="32" t="n">
        <f aca="false">1/(1+$B$18)^(E24-0.5)</f>
        <v>0.67121411742866</v>
      </c>
      <c r="F33" s="32" t="n">
        <f aca="false">1/(1+$B$18)^(F24-0.5)</f>
        <v>0.598953104215359</v>
      </c>
      <c r="G33" s="32" t="n">
        <f aca="false">1/(1+$B$18)^(G24-0.5)</f>
        <v>0.534471507279261</v>
      </c>
      <c r="H33" s="32" t="n">
        <f aca="false">1/(1+$B$18)^(H24-0.5)</f>
        <v>0.476931816669662</v>
      </c>
      <c r="I33" s="32" t="n">
        <f aca="false">1/(1+$B$18)^(I24-0.5)</f>
        <v>0.425586686388083</v>
      </c>
      <c r="J33" s="32" t="n">
        <f aca="false">1/(1+$B$18)^(J24-0.5)</f>
        <v>0.379769227592212</v>
      </c>
      <c r="K33" s="32" t="n">
        <f aca="false">1/(1+$B$18)^(K24-0.5)</f>
        <v>0.338884346806071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1.93617616495511</v>
      </c>
      <c r="C34" s="14" t="n">
        <f aca="false">C32*C33</f>
        <v>2.79835909669178</v>
      </c>
      <c r="D34" s="14" t="n">
        <f aca="false">D32*D33</f>
        <v>3.29092353303318</v>
      </c>
      <c r="E34" s="14" t="n">
        <f aca="false">E32*E33</f>
        <v>3.56572614006732</v>
      </c>
      <c r="F34" s="14" t="n">
        <f aca="false">F32*F33</f>
        <v>3.78594163251642</v>
      </c>
      <c r="G34" s="14" t="n">
        <f aca="false">G32*G33</f>
        <v>3.93749584073614</v>
      </c>
      <c r="H34" s="14" t="n">
        <f aca="false">H32*H33</f>
        <v>4.00962289890995</v>
      </c>
      <c r="I34" s="14" t="n">
        <f aca="false">I32*I33</f>
        <v>3.99607017723534</v>
      </c>
      <c r="J34" s="14" t="n">
        <f aca="false">J32*J33</f>
        <v>3.89591272055778</v>
      </c>
      <c r="K34" s="14" t="n">
        <f aca="false">K32*K33</f>
        <v>3.71383957897566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34.9300677836787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11.8260735751651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114.809246873346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38.9070566339707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73.8371244176494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73.7071244176494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187.54993490496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2026-10-22T14:43:36Z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Vertiv (VRT)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